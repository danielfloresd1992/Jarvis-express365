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porte-1\Desktop\Formatos de excel\"/>
    </mc:Choice>
  </mc:AlternateContent>
  <xr:revisionPtr revIDLastSave="0" documentId="13_ncr:1_{7465BC16-D37A-4761-ADF6-385CE0FDCF57}" xr6:coauthVersionLast="41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onitoreo" sheetId="8" r:id="rId1"/>
    <sheet name="Datos Atencion al Cliente" sheetId="2" r:id="rId2"/>
    <sheet name="Resumen" sheetId="6" r:id="rId3"/>
    <sheet name="Evaluacion" sheetId="10" state="veryHidden" r:id="rId4"/>
  </sheets>
  <functionGroups builtInGroupCount="19"/>
  <externalReferences>
    <externalReference r:id="rId5"/>
  </externalReferences>
  <definedNames>
    <definedName name="_xlcn.WorksheetConnection_FORMATOPRUEBACORREGIDO.xlsmDtAtenClient1" hidden="1">DtAtenClient[]</definedName>
    <definedName name="HORA">Monitoreo!$O$54</definedName>
  </definedNames>
  <calcPr calcId="191029"/>
  <extLst>
    <ext xmlns:x14="http://schemas.microsoft.com/office/spreadsheetml/2009/9/main" uri="{8193D73E-4604-4355-AFF4-8A2333D13BE4}">
      <x14:definedNames>
        <x14:definedName name="CalcularDemora">
          <x14:argumentDescriptions count="2">
            <x14:argumentDescription index="0">Es la celda que contiene la hora de inicio del evento.</x14:argumentDescription>
            <x14:argumentDescription index="1">Es la celda que contiene la hora en la que culmina el evento.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tAtenClient" name="DtAtenClient" connection="WorksheetConnection_FORMATO PRUEBA CORREGIDO.xlsm!DtAtenClient"/>
        </x15:modelTables>
      </x15:dataModel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C2" i="6" l="1"/>
  <c r="C3" i="6"/>
  <c r="F7" i="8"/>
  <c r="AA2" i="2"/>
  <c r="R2" i="2"/>
  <c r="F2" i="2"/>
  <c r="S2" i="2"/>
  <c r="J2" i="2"/>
  <c r="Q2" i="2"/>
  <c r="X2" i="2"/>
  <c r="L2" i="6" l="1"/>
  <c r="N7" i="6" l="1"/>
  <c r="L7" i="6"/>
  <c r="N6" i="6"/>
  <c r="L6" i="6"/>
  <c r="C21" i="6"/>
  <c r="N2" i="6"/>
  <c r="I12" i="6" l="1"/>
  <c r="I11" i="6"/>
  <c r="I10" i="6"/>
  <c r="I9" i="6"/>
  <c r="I8" i="6"/>
  <c r="I7" i="6"/>
  <c r="I5" i="6"/>
  <c r="I6" i="6"/>
  <c r="E16" i="6"/>
  <c r="E15" i="6"/>
  <c r="E14" i="6"/>
  <c r="E13" i="6"/>
  <c r="E12" i="6"/>
  <c r="E11" i="6"/>
  <c r="E10" i="6"/>
  <c r="E9" i="6"/>
  <c r="E8" i="6"/>
  <c r="E7" i="6"/>
  <c r="E6" i="6"/>
  <c r="E5" i="6"/>
  <c r="L5" i="6" l="1"/>
  <c r="L4" i="6"/>
  <c r="L3" i="6"/>
  <c r="J15" i="8"/>
  <c r="L8" i="6" l="1"/>
  <c r="E2" i="6"/>
  <c r="N3" i="6" l="1"/>
  <c r="N4" i="6"/>
  <c r="N5" i="6"/>
  <c r="E19" i="6"/>
  <c r="C19" i="6"/>
  <c r="E18" i="6"/>
  <c r="C18" i="6"/>
  <c r="E21" i="6" l="1"/>
  <c r="C22" i="6"/>
  <c r="F56" i="8"/>
  <c r="U12" i="8"/>
  <c r="J45" i="8"/>
  <c r="J57" i="8"/>
  <c r="T10" i="8"/>
  <c r="J6" i="8"/>
  <c r="U48" i="8"/>
  <c r="U14" i="8"/>
  <c r="F42" i="8"/>
  <c r="F47" i="8"/>
  <c r="T30" i="8"/>
  <c r="F38" i="8"/>
  <c r="U39" i="8"/>
  <c r="U42" i="8"/>
  <c r="J44" i="8"/>
  <c r="U4" i="8"/>
  <c r="V25" i="8"/>
  <c r="J43" i="8"/>
  <c r="T19" i="8"/>
  <c r="T28" i="8"/>
  <c r="F19" i="8"/>
  <c r="J5" i="8"/>
  <c r="J24" i="8"/>
  <c r="F55" i="8"/>
  <c r="U13" i="8"/>
  <c r="T6" i="8"/>
  <c r="J23" i="8"/>
  <c r="F28" i="8"/>
  <c r="J38" i="8"/>
  <c r="J18" i="8"/>
  <c r="U8" i="8"/>
  <c r="T4" i="8"/>
  <c r="J9" i="8"/>
  <c r="J8" i="8"/>
  <c r="J19" i="8"/>
  <c r="V13" i="8"/>
  <c r="J46" i="8"/>
  <c r="J13" i="8"/>
  <c r="T26" i="8"/>
  <c r="J51" i="8"/>
  <c r="U59" i="8"/>
  <c r="V30" i="8"/>
  <c r="J27" i="8"/>
  <c r="J26" i="8"/>
  <c r="U45" i="8"/>
  <c r="U60" i="8"/>
  <c r="F14" i="8"/>
  <c r="J55" i="8"/>
  <c r="V12" i="8"/>
  <c r="F27" i="8"/>
  <c r="F50" i="8"/>
  <c r="U10" i="8"/>
  <c r="J16" i="8"/>
  <c r="V17" i="8"/>
  <c r="T5" i="8"/>
  <c r="F25" i="8"/>
  <c r="F6" i="8"/>
  <c r="V4" i="8"/>
  <c r="U22" i="8"/>
  <c r="T16" i="8"/>
  <c r="V29" i="8"/>
  <c r="U68" i="8"/>
  <c r="J10" i="8"/>
  <c r="U18" i="8"/>
  <c r="J39" i="8"/>
  <c r="F51" i="8"/>
  <c r="J35" i="8"/>
  <c r="F48" i="8"/>
  <c r="U66" i="8"/>
  <c r="U38" i="8"/>
  <c r="J3" i="8"/>
  <c r="J33" i="8"/>
  <c r="U6" i="8"/>
  <c r="F13" i="8"/>
  <c r="T7" i="8"/>
  <c r="T32" i="8"/>
  <c r="U5" i="8"/>
  <c r="F35" i="8"/>
  <c r="T13" i="8"/>
  <c r="T31" i="8"/>
  <c r="J34" i="8"/>
  <c r="U21" i="8"/>
  <c r="T14" i="8"/>
  <c r="J50" i="8"/>
  <c r="V26" i="8"/>
  <c r="V11" i="8"/>
  <c r="U56" i="8"/>
  <c r="U25" i="8"/>
  <c r="T25" i="8"/>
  <c r="F5" i="8"/>
  <c r="J56" i="8"/>
  <c r="U61" i="8"/>
  <c r="U62" i="8"/>
  <c r="V10" i="8"/>
  <c r="F36" i="8"/>
  <c r="J41" i="8"/>
  <c r="U23" i="8"/>
  <c r="U20" i="8"/>
  <c r="J54" i="8"/>
  <c r="J20" i="8"/>
  <c r="J52" i="8"/>
  <c r="F46" i="8"/>
  <c r="T29" i="8"/>
  <c r="J17" i="8"/>
  <c r="J47" i="8"/>
  <c r="U24" i="8"/>
  <c r="V3" i="8"/>
  <c r="U15" i="8"/>
  <c r="U29" i="8"/>
  <c r="F32" i="8"/>
  <c r="F37" i="8"/>
  <c r="J42" i="8"/>
  <c r="U19" i="8"/>
  <c r="F57" i="8"/>
  <c r="V27" i="8"/>
  <c r="U32" i="8"/>
  <c r="V23" i="8"/>
  <c r="U3" i="8"/>
  <c r="J40" i="8"/>
  <c r="F29" i="8"/>
  <c r="U49" i="8"/>
  <c r="U41" i="8"/>
  <c r="T21" i="8"/>
  <c r="F4" i="8"/>
  <c r="J49" i="8"/>
  <c r="F10" i="8"/>
  <c r="F33" i="8"/>
  <c r="F8" i="8"/>
  <c r="V5" i="8"/>
  <c r="F11" i="8"/>
  <c r="U7" i="8"/>
  <c r="J30" i="8"/>
  <c r="F41" i="8"/>
  <c r="V9" i="8"/>
  <c r="F17" i="8"/>
  <c r="J36" i="8"/>
  <c r="U58" i="8"/>
  <c r="F52" i="8"/>
  <c r="V18" i="8"/>
  <c r="V20" i="8"/>
  <c r="F3" i="8"/>
  <c r="U63" i="8"/>
  <c r="T3" i="8"/>
  <c r="V22" i="8"/>
  <c r="U30" i="8"/>
  <c r="F15" i="8"/>
  <c r="J4" i="8"/>
  <c r="F43" i="8"/>
  <c r="V7" i="8"/>
  <c r="F23" i="8"/>
  <c r="F16" i="8"/>
  <c r="U9" i="8"/>
  <c r="F24" i="8"/>
  <c r="U26" i="8"/>
  <c r="T17" i="8"/>
  <c r="V24" i="8"/>
  <c r="V16" i="8"/>
  <c r="F30" i="8"/>
  <c r="U37" i="8"/>
  <c r="U47" i="8"/>
  <c r="J7" i="8"/>
  <c r="J21" i="8"/>
  <c r="J22" i="8"/>
  <c r="U50" i="8"/>
  <c r="F22" i="8"/>
  <c r="T11" i="8"/>
  <c r="T24" i="8"/>
  <c r="T9" i="8"/>
  <c r="J53" i="8"/>
  <c r="J29" i="8"/>
  <c r="F45" i="8"/>
  <c r="U17" i="8"/>
  <c r="U55" i="8"/>
  <c r="F18" i="8"/>
  <c r="J31" i="8"/>
  <c r="U28" i="8"/>
  <c r="T20" i="8"/>
  <c r="T8" i="8"/>
  <c r="F26" i="8"/>
  <c r="U27" i="8"/>
  <c r="F53" i="8"/>
  <c r="T12" i="8"/>
  <c r="U31" i="8"/>
  <c r="F21" i="8"/>
  <c r="V21" i="8"/>
  <c r="V8" i="8"/>
  <c r="V28" i="8"/>
  <c r="V15" i="8"/>
  <c r="F49" i="8"/>
  <c r="F39" i="8"/>
  <c r="V32" i="8"/>
  <c r="F20" i="8"/>
  <c r="J14" i="8"/>
  <c r="J12" i="8"/>
  <c r="T23" i="8"/>
  <c r="V6" i="8"/>
  <c r="U57" i="8"/>
  <c r="J32" i="8"/>
  <c r="J48" i="8"/>
  <c r="U46" i="8"/>
  <c r="F40" i="8"/>
  <c r="F9" i="8"/>
  <c r="J11" i="8"/>
  <c r="F44" i="8"/>
  <c r="V14" i="8"/>
  <c r="U11" i="8"/>
  <c r="J28" i="8"/>
  <c r="U69" i="8"/>
  <c r="F31" i="8"/>
  <c r="U40" i="8"/>
  <c r="U16" i="8"/>
  <c r="F34" i="8"/>
  <c r="U51" i="8"/>
  <c r="J37" i="8"/>
  <c r="T18" i="8"/>
  <c r="U43" i="8"/>
  <c r="F54" i="8"/>
  <c r="T22" i="8"/>
  <c r="U64" i="8"/>
  <c r="U65" i="8"/>
  <c r="U67" i="8"/>
  <c r="F12" i="8"/>
  <c r="T15" i="8"/>
  <c r="T27" i="8"/>
  <c r="V31" i="8"/>
  <c r="U44" i="8"/>
  <c r="V19" i="8"/>
  <c r="J2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FORMATO PRUEBA CORREGIDO.xlsm!DtAtenClient" type="102" refreshedVersion="6" minRefreshableVersion="5">
    <extLst>
      <ext xmlns:x15="http://schemas.microsoft.com/office/spreadsheetml/2010/11/main" uri="{DE250136-89BD-433C-8126-D09CA5730AF9}">
        <x15:connection id="DtAtenClient">
          <x15:rangePr sourceName="_xlcn.WorksheetConnection_FORMATOPRUEBACORREGIDO.xlsmDtAtenClient1"/>
        </x15:connection>
      </ext>
    </extLst>
  </connection>
</connections>
</file>

<file path=xl/sharedStrings.xml><?xml version="1.0" encoding="utf-8"?>
<sst xmlns="http://schemas.openxmlformats.org/spreadsheetml/2006/main" count="141" uniqueCount="98">
  <si>
    <t>SE OCUPA LA MESA</t>
  </si>
  <si>
    <t>Operador</t>
  </si>
  <si>
    <t>Mesa</t>
  </si>
  <si>
    <t>Ocupada</t>
  </si>
  <si>
    <t>Desocupa</t>
  </si>
  <si>
    <t>Limpieza</t>
  </si>
  <si>
    <t>PROCESOS</t>
  </si>
  <si>
    <t>TOQUES DE GERENTE</t>
  </si>
  <si>
    <t>Gerente</t>
  </si>
  <si>
    <t>Inicio</t>
  </si>
  <si>
    <t>Finalizo</t>
  </si>
  <si>
    <t>Duracion</t>
  </si>
  <si>
    <t>Duracion TM</t>
  </si>
  <si>
    <t>Duracion TG</t>
  </si>
  <si>
    <t>Toque</t>
  </si>
  <si>
    <t>InicioTM</t>
  </si>
  <si>
    <t>FinalizoTM</t>
  </si>
  <si>
    <t>InicioTG</t>
  </si>
  <si>
    <t>FinalizoTG</t>
  </si>
  <si>
    <t>GUARDAR</t>
  </si>
  <si>
    <t>Duración</t>
  </si>
  <si>
    <t>Entrada</t>
  </si>
  <si>
    <t>Plato Fuerte</t>
  </si>
  <si>
    <t>Postre</t>
  </si>
  <si>
    <t>Rotaciones evaluadas</t>
  </si>
  <si>
    <t>Zona</t>
  </si>
  <si>
    <t>TURNO</t>
  </si>
  <si>
    <t>LOCAL</t>
  </si>
  <si>
    <t>FECHA</t>
  </si>
  <si>
    <t>Protocolo</t>
  </si>
  <si>
    <t>Ubicado_Host</t>
  </si>
  <si>
    <t>Despedido_Host</t>
  </si>
  <si>
    <t>EntregaPlato</t>
  </si>
  <si>
    <t>DemoraTotal</t>
  </si>
  <si>
    <t>Espera</t>
  </si>
  <si>
    <t>Demora</t>
  </si>
  <si>
    <t>Atencion</t>
  </si>
  <si>
    <t>Despedida</t>
  </si>
  <si>
    <t>Orden</t>
  </si>
  <si>
    <t>Cocina</t>
  </si>
  <si>
    <t>Tablet</t>
  </si>
  <si>
    <t>Entrega</t>
  </si>
  <si>
    <t>Preparacion</t>
  </si>
  <si>
    <t>Guardado</t>
  </si>
  <si>
    <t>Acciones</t>
  </si>
  <si>
    <t>Acciones NG</t>
  </si>
  <si>
    <t>TiempoEntrega</t>
  </si>
  <si>
    <t>G1</t>
  </si>
  <si>
    <t>G2</t>
  </si>
  <si>
    <t>G3</t>
  </si>
  <si>
    <t>A1</t>
  </si>
  <si>
    <t>A2</t>
  </si>
  <si>
    <t>A3</t>
  </si>
  <si>
    <t>A4</t>
  </si>
  <si>
    <t>Proceso</t>
  </si>
  <si>
    <t>Tiempo Promedio</t>
  </si>
  <si>
    <t>ListoTablet</t>
  </si>
  <si>
    <t>ListoCocina</t>
  </si>
  <si>
    <t xml:space="preserve">Tiempo Total </t>
  </si>
  <si>
    <t>USO DE BANO</t>
  </si>
  <si>
    <t>Rotaciones en barra</t>
  </si>
  <si>
    <t>Rotaciones totales</t>
  </si>
  <si>
    <t>PT</t>
  </si>
  <si>
    <t>OT</t>
  </si>
  <si>
    <t>G4</t>
  </si>
  <si>
    <t>G5</t>
  </si>
  <si>
    <t>G6</t>
  </si>
  <si>
    <t xml:space="preserve">TOQUES DE GERENTES </t>
  </si>
  <si>
    <t>Cantidad de demoras en primera atencion</t>
  </si>
  <si>
    <t>Promedio de primera atencion</t>
  </si>
  <si>
    <t>Cantidad de demoras en Limpieza</t>
  </si>
  <si>
    <t>Promedio de Limpieza</t>
  </si>
  <si>
    <t xml:space="preserve">Total  </t>
  </si>
  <si>
    <t>---&gt;</t>
  </si>
  <si>
    <t>Cantidad de usos de baño</t>
  </si>
  <si>
    <t>Cantidad de demoras en uso de baño</t>
  </si>
  <si>
    <t>Promedio de usos de baño</t>
  </si>
  <si>
    <t>Take Out</t>
  </si>
  <si>
    <t>Pick Up</t>
  </si>
  <si>
    <t>Columna1</t>
  </si>
  <si>
    <t>Primera Atención</t>
  </si>
  <si>
    <t>Toma De Orden</t>
  </si>
  <si>
    <t>Tipo De Plato</t>
  </si>
  <si>
    <t>Criterio</t>
  </si>
  <si>
    <t>Cantidad</t>
  </si>
  <si>
    <t xml:space="preserve">Ocupa </t>
  </si>
  <si>
    <t>Primera atencion</t>
  </si>
  <si>
    <t>Toma de orden</t>
  </si>
  <si>
    <t xml:space="preserve">Entrega de plato </t>
  </si>
  <si>
    <t>Desocupas</t>
  </si>
  <si>
    <t>Limpiezas</t>
  </si>
  <si>
    <t xml:space="preserve">Toques de gerente </t>
  </si>
  <si>
    <t>Filtro de horas</t>
  </si>
  <si>
    <t>Hasta:</t>
  </si>
  <si>
    <t>Desde:</t>
  </si>
  <si>
    <t>Hora de break</t>
  </si>
  <si>
    <t>Drinks</t>
  </si>
  <si>
    <t>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</si>
</sst>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:ss;@"/>
    <numFmt numFmtId="165" formatCode="hh:mm:ss;@"/>
    <numFmt numFmtId="166" formatCode="d/m/yy;@"/>
    <numFmt numFmtId="167" formatCode="hh:mm:ss\ AM/PM"/>
    <numFmt numFmtId="168" formatCode="[$-F400]h:mm:ss\ AM/PM"/>
  </numFmts>
  <fonts count="3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Bookman Old Style"/>
      <family val="1"/>
    </font>
    <font>
      <b/>
      <sz val="14"/>
      <name val="Bookman Old Style"/>
      <family val="1"/>
    </font>
    <font>
      <b/>
      <sz val="14"/>
      <color theme="0"/>
      <name val="Bookman Old Style"/>
      <family val="1"/>
    </font>
    <font>
      <b/>
      <sz val="12"/>
      <name val="Bookman Old Style"/>
      <family val="1"/>
    </font>
    <font>
      <b/>
      <sz val="10"/>
      <color theme="5" tint="-0.499984740745262"/>
      <name val="Bookman Old Style"/>
      <family val="1"/>
    </font>
    <font>
      <b/>
      <sz val="14"/>
      <color theme="1"/>
      <name val="Bookman Old Style"/>
      <family val="1"/>
    </font>
    <font>
      <b/>
      <sz val="12"/>
      <color theme="1"/>
      <name val="Bookman Old Style"/>
      <family val="1"/>
    </font>
    <font>
      <b/>
      <sz val="11"/>
      <color theme="1"/>
      <name val="Bookman Old Style"/>
      <family val="1"/>
    </font>
    <font>
      <b/>
      <sz val="12"/>
      <color theme="5" tint="-0.499984740745262"/>
      <name val="Bookman Old Style"/>
      <family val="1"/>
    </font>
    <font>
      <b/>
      <sz val="14"/>
      <color rgb="FFFF0000"/>
      <name val="Bookman Old Style"/>
      <family val="1"/>
    </font>
    <font>
      <b/>
      <sz val="14"/>
      <color theme="1"/>
      <name val="Bookman Old Style"/>
      <family val="1"/>
    </font>
    <font>
      <b/>
      <sz val="14"/>
      <color theme="1"/>
      <name val="Bookman Old Style"/>
      <family val="1"/>
    </font>
    <font>
      <b/>
      <sz val="14"/>
      <color theme="1"/>
      <name val="Bookman Old Style"/>
      <family val="1"/>
    </font>
    <font>
      <b/>
      <sz val="14"/>
      <name val="Bookman Old Style"/>
      <family val="1"/>
    </font>
    <font>
      <b/>
      <sz val="14"/>
      <color theme="1"/>
      <name val="Bookman Old Style"/>
      <family val="1"/>
    </font>
    <font>
      <b/>
      <sz val="14"/>
      <color theme="1"/>
      <name val="Bookman Old Style"/>
    </font>
    <font>
      <b/>
      <sz val="14"/>
      <name val="Bookman Old Style"/>
    </font>
    <font>
      <sz val="14"/>
      <color theme="1"/>
      <name val="Bookman Old Style"/>
    </font>
    <font>
      <sz val="11"/>
      <color theme="1"/>
      <name val="Calibri"/>
      <scheme val="minor"/>
    </font>
    <font>
      <sz val="11"/>
      <name val="Calibri"/>
      <scheme val="minor"/>
    </font>
    <font>
      <b/>
      <sz val="11"/>
      <color theme="0"/>
      <name val="Calibri"/>
      <scheme val="minor"/>
    </font>
    <font>
      <sz val="15"/>
      <color theme="1"/>
      <name val="Calibri"/>
      <family val="2"/>
      <scheme val="minor"/>
    </font>
    <font>
      <b/>
      <sz val="15"/>
      <color rgb="FF000000"/>
      <name val="Century Gothic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/>
        <b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theme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7999816888943144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002060"/>
      </top>
      <bottom style="thin">
        <color rgb="FF002060"/>
      </bottom>
      <diagonal/>
    </border>
    <border>
      <left/>
      <right style="medium">
        <color indexed="64"/>
      </right>
      <top style="thin">
        <color rgb="FF002060"/>
      </top>
      <bottom style="thin">
        <color rgb="FF002060"/>
      </bottom>
      <diagonal/>
    </border>
    <border>
      <left/>
      <right style="medium">
        <color indexed="64"/>
      </right>
      <top style="thin">
        <color rgb="FF002060"/>
      </top>
      <bottom style="thin">
        <color indexed="64"/>
      </bottom>
      <diagonal/>
    </border>
    <border>
      <left/>
      <right style="medium">
        <color indexed="64"/>
      </right>
      <top style="thin">
        <color rgb="FF00206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0" borderId="0" xfId="0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1" fontId="2" fillId="4" borderId="1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4" borderId="19" xfId="0" applyFont="1" applyFill="1" applyBorder="1" applyAlignment="1">
      <alignment horizontal="center" vertical="center" wrapText="1"/>
    </xf>
    <xf numFmtId="164" fontId="0" fillId="0" borderId="0" xfId="0" applyNumberFormat="1"/>
    <xf numFmtId="0" fontId="4" fillId="13" borderId="20" xfId="0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 vertical="center" wrapText="1"/>
      <protection locked="0"/>
    </xf>
    <xf numFmtId="0" fontId="2" fillId="7" borderId="16" xfId="0" applyFont="1" applyFill="1" applyBorder="1" applyAlignment="1">
      <alignment horizontal="center" vertical="center"/>
    </xf>
    <xf numFmtId="164" fontId="1" fillId="3" borderId="5" xfId="0" applyNumberFormat="1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 wrapText="1"/>
      <protection locked="0"/>
    </xf>
    <xf numFmtId="22" fontId="5" fillId="0" borderId="0" xfId="0" applyNumberFormat="1" applyFont="1" applyAlignment="1" applyProtection="1">
      <alignment horizontal="center" vertical="center" wrapText="1"/>
      <protection locked="0"/>
    </xf>
    <xf numFmtId="19" fontId="5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164" fontId="10" fillId="0" borderId="8" xfId="0" applyNumberFormat="1" applyFont="1" applyBorder="1" applyAlignment="1" applyProtection="1">
      <alignment horizontal="center" vertical="center" wrapText="1"/>
      <protection locked="0"/>
    </xf>
    <xf numFmtId="19" fontId="10" fillId="0" borderId="8" xfId="0" applyNumberFormat="1" applyFont="1" applyBorder="1" applyAlignment="1" applyProtection="1">
      <alignment horizontal="center" vertical="center" wrapText="1"/>
      <protection locked="0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8" xfId="0" applyFont="1" applyBorder="1" applyAlignment="1" applyProtection="1">
      <alignment horizontal="center" vertical="center" wrapText="1"/>
      <protection locked="0"/>
    </xf>
    <xf numFmtId="164" fontId="10" fillId="2" borderId="28" xfId="0" applyNumberFormat="1" applyFont="1" applyFill="1" applyBorder="1" applyAlignment="1" applyProtection="1">
      <alignment horizontal="center" vertical="center" wrapText="1"/>
      <protection locked="0"/>
    </xf>
    <xf numFmtId="1" fontId="10" fillId="0" borderId="6" xfId="0" applyNumberFormat="1" applyFont="1" applyBorder="1" applyAlignment="1" applyProtection="1">
      <alignment horizontal="center" vertical="center" wrapText="1"/>
      <protection locked="0"/>
    </xf>
    <xf numFmtId="19" fontId="12" fillId="0" borderId="8" xfId="0" applyNumberFormat="1" applyFont="1" applyBorder="1" applyAlignment="1" applyProtection="1">
      <alignment horizontal="center" vertical="center" wrapText="1"/>
      <protection locked="0"/>
    </xf>
    <xf numFmtId="164" fontId="10" fillId="0" borderId="14" xfId="0" applyNumberFormat="1" applyFont="1" applyBorder="1" applyAlignment="1">
      <alignment horizontal="center" vertical="center" wrapText="1"/>
    </xf>
    <xf numFmtId="164" fontId="10" fillId="17" borderId="21" xfId="0" applyNumberFormat="1" applyFont="1" applyFill="1" applyBorder="1" applyAlignment="1" applyProtection="1">
      <alignment horizontal="center" vertical="center" wrapText="1"/>
      <protection locked="0"/>
    </xf>
    <xf numFmtId="164" fontId="10" fillId="10" borderId="29" xfId="0" applyNumberFormat="1" applyFont="1" applyFill="1" applyBorder="1" applyAlignment="1" applyProtection="1">
      <alignment horizontal="center" vertical="center" wrapText="1"/>
      <protection locked="0"/>
    </xf>
    <xf numFmtId="164" fontId="10" fillId="0" borderId="22" xfId="0" applyNumberFormat="1" applyFont="1" applyBorder="1" applyAlignment="1" applyProtection="1">
      <alignment horizontal="center" vertical="center" wrapText="1"/>
      <protection locked="0"/>
    </xf>
    <xf numFmtId="164" fontId="10" fillId="2" borderId="29" xfId="0" applyNumberFormat="1" applyFont="1" applyFill="1" applyBorder="1" applyAlignment="1" applyProtection="1">
      <alignment horizontal="center" vertical="center" wrapText="1"/>
      <protection locked="0"/>
    </xf>
    <xf numFmtId="164" fontId="10" fillId="17" borderId="22" xfId="0" applyNumberFormat="1" applyFont="1" applyFill="1" applyBorder="1" applyAlignment="1" applyProtection="1">
      <alignment horizontal="center" vertical="center" wrapText="1"/>
      <protection locked="0"/>
    </xf>
    <xf numFmtId="164" fontId="10" fillId="0" borderId="24" xfId="0" applyNumberFormat="1" applyFont="1" applyBorder="1" applyAlignment="1" applyProtection="1">
      <alignment horizontal="center" vertical="center" wrapText="1"/>
      <protection locked="0"/>
    </xf>
    <xf numFmtId="164" fontId="10" fillId="17" borderId="7" xfId="0" applyNumberFormat="1" applyFont="1" applyFill="1" applyBorder="1" applyAlignment="1" applyProtection="1">
      <alignment horizontal="center" vertical="center" wrapText="1"/>
      <protection locked="0"/>
    </xf>
    <xf numFmtId="19" fontId="10" fillId="0" borderId="0" xfId="0" applyNumberFormat="1" applyFont="1" applyAlignment="1" applyProtection="1">
      <alignment horizontal="center" vertical="center" wrapText="1"/>
      <protection locked="0"/>
    </xf>
    <xf numFmtId="164" fontId="10" fillId="17" borderId="2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Protection="1"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19" fontId="8" fillId="0" borderId="17" xfId="0" applyNumberFormat="1" applyFont="1" applyBorder="1" applyAlignment="1" applyProtection="1">
      <alignment horizontal="center" vertical="top" wrapText="1"/>
      <protection locked="0"/>
    </xf>
    <xf numFmtId="0" fontId="10" fillId="16" borderId="26" xfId="0" applyFont="1" applyFill="1" applyBorder="1" applyAlignment="1" applyProtection="1">
      <alignment horizontal="center" vertical="center" wrapText="1"/>
      <protection locked="0"/>
    </xf>
    <xf numFmtId="166" fontId="10" fillId="15" borderId="21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9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wrapText="1"/>
      <protection locked="0"/>
    </xf>
    <xf numFmtId="164" fontId="6" fillId="0" borderId="12" xfId="0" applyNumberFormat="1" applyFont="1" applyBorder="1" applyAlignment="1" applyProtection="1">
      <alignment horizontal="center" vertical="center" wrapText="1"/>
      <protection locked="0"/>
    </xf>
    <xf numFmtId="164" fontId="6" fillId="0" borderId="14" xfId="0" applyNumberFormat="1" applyFont="1" applyBorder="1" applyAlignment="1">
      <alignment horizontal="center" vertical="top" wrapText="1"/>
    </xf>
    <xf numFmtId="0" fontId="10" fillId="0" borderId="41" xfId="0" applyFont="1" applyBorder="1" applyAlignment="1" applyProtection="1">
      <alignment horizontal="center" vertical="center" wrapText="1"/>
      <protection locked="0"/>
    </xf>
    <xf numFmtId="0" fontId="10" fillId="0" borderId="42" xfId="0" applyFont="1" applyBorder="1" applyAlignment="1" applyProtection="1">
      <alignment horizontal="center" vertical="center" wrapText="1"/>
      <protection locked="0"/>
    </xf>
    <xf numFmtId="164" fontId="10" fillId="10" borderId="30" xfId="0" applyNumberFormat="1" applyFont="1" applyFill="1" applyBorder="1" applyAlignment="1" applyProtection="1">
      <alignment horizontal="center" vertical="center" wrapText="1"/>
      <protection locked="0"/>
    </xf>
    <xf numFmtId="0" fontId="10" fillId="16" borderId="9" xfId="0" applyFont="1" applyFill="1" applyBorder="1" applyAlignment="1" applyProtection="1">
      <alignment horizontal="center" vertical="center" wrapText="1"/>
      <protection locked="0"/>
    </xf>
    <xf numFmtId="0" fontId="10" fillId="15" borderId="22" xfId="0" applyFont="1" applyFill="1" applyBorder="1" applyAlignment="1" applyProtection="1">
      <alignment horizontal="center" vertical="center" wrapText="1"/>
      <protection locked="0"/>
    </xf>
    <xf numFmtId="0" fontId="10" fillId="0" borderId="43" xfId="0" applyFont="1" applyBorder="1" applyAlignment="1" applyProtection="1">
      <alignment horizontal="center" vertical="center" wrapText="1"/>
      <protection locked="0"/>
    </xf>
    <xf numFmtId="0" fontId="10" fillId="0" borderId="44" xfId="0" applyFont="1" applyBorder="1" applyAlignment="1" applyProtection="1">
      <alignment horizontal="center" vertical="center" wrapText="1"/>
      <protection locked="0"/>
    </xf>
    <xf numFmtId="0" fontId="10" fillId="16" borderId="27" xfId="0" applyFont="1" applyFill="1" applyBorder="1" applyAlignment="1" applyProtection="1">
      <alignment horizontal="center" vertical="center" wrapText="1"/>
      <protection locked="0"/>
    </xf>
    <xf numFmtId="0" fontId="10" fillId="15" borderId="23" xfId="0" applyFont="1" applyFill="1" applyBorder="1" applyAlignment="1" applyProtection="1">
      <alignment horizontal="center" vertical="center" wrapText="1"/>
      <protection locked="0"/>
    </xf>
    <xf numFmtId="164" fontId="10" fillId="0" borderId="0" xfId="0" applyNumberFormat="1" applyFont="1" applyAlignment="1" applyProtection="1">
      <alignment horizontal="center" vertical="center" wrapText="1"/>
      <protection locked="0"/>
    </xf>
    <xf numFmtId="0" fontId="6" fillId="0" borderId="13" xfId="0" applyFont="1" applyBorder="1" applyAlignment="1" applyProtection="1">
      <alignment horizontal="center" vertical="center" wrapText="1"/>
      <protection locked="0"/>
    </xf>
    <xf numFmtId="1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45" xfId="0" applyFont="1" applyBorder="1" applyAlignment="1" applyProtection="1">
      <alignment horizontal="center" vertical="center" wrapText="1"/>
      <protection locked="0"/>
    </xf>
    <xf numFmtId="0" fontId="10" fillId="0" borderId="46" xfId="0" applyFont="1" applyBorder="1" applyAlignment="1" applyProtection="1">
      <alignment horizontal="center" vertical="center" wrapText="1"/>
      <protection locked="0"/>
    </xf>
    <xf numFmtId="0" fontId="10" fillId="0" borderId="47" xfId="0" applyFont="1" applyBorder="1" applyAlignment="1" applyProtection="1">
      <alignment horizontal="center" vertical="center" wrapText="1"/>
      <protection locked="0"/>
    </xf>
    <xf numFmtId="0" fontId="10" fillId="0" borderId="48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6" fillId="18" borderId="32" xfId="0" applyFont="1" applyFill="1" applyBorder="1" applyAlignment="1" applyProtection="1">
      <alignment horizontal="center" vertical="center" wrapText="1"/>
      <protection locked="0"/>
    </xf>
    <xf numFmtId="0" fontId="6" fillId="18" borderId="33" xfId="0" applyFont="1" applyFill="1" applyBorder="1" applyAlignment="1" applyProtection="1">
      <alignment horizontal="center" vertical="center" wrapText="1"/>
      <protection locked="0"/>
    </xf>
    <xf numFmtId="0" fontId="8" fillId="18" borderId="33" xfId="0" applyFont="1" applyFill="1" applyBorder="1" applyAlignment="1" applyProtection="1">
      <alignment horizontal="center" vertical="center" wrapText="1"/>
      <protection locked="0"/>
    </xf>
    <xf numFmtId="0" fontId="8" fillId="18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Border="1" applyAlignment="1" applyProtection="1">
      <alignment horizontal="center" vertical="center" wrapText="1"/>
      <protection locked="0"/>
    </xf>
    <xf numFmtId="164" fontId="10" fillId="0" borderId="21" xfId="0" applyNumberFormat="1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 wrapText="1"/>
    </xf>
    <xf numFmtId="164" fontId="10" fillId="2" borderId="3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7" xfId="0" applyFont="1" applyBorder="1" applyAlignment="1" applyProtection="1">
      <alignment horizontal="center" vertical="center" wrapText="1"/>
      <protection locked="0"/>
    </xf>
    <xf numFmtId="164" fontId="10" fillId="0" borderId="10" xfId="0" applyNumberFormat="1" applyFont="1" applyBorder="1" applyAlignment="1" applyProtection="1">
      <alignment horizontal="center" vertical="center" wrapText="1"/>
      <protection locked="0"/>
    </xf>
    <xf numFmtId="164" fontId="10" fillId="0" borderId="23" xfId="0" applyNumberFormat="1" applyFont="1" applyBorder="1" applyAlignment="1">
      <alignment horizontal="center" vertical="center" wrapText="1"/>
    </xf>
    <xf numFmtId="164" fontId="14" fillId="21" borderId="8" xfId="0" applyNumberFormat="1" applyFont="1" applyFill="1" applyBorder="1" applyAlignment="1">
      <alignment horizontal="center" vertical="center" wrapText="1"/>
    </xf>
    <xf numFmtId="164" fontId="7" fillId="22" borderId="14" xfId="0" applyNumberFormat="1" applyFont="1" applyFill="1" applyBorder="1" applyAlignment="1">
      <alignment horizontal="center" vertical="center" wrapText="1"/>
    </xf>
    <xf numFmtId="164" fontId="15" fillId="0" borderId="8" xfId="0" applyNumberFormat="1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0" fontId="17" fillId="0" borderId="8" xfId="0" applyFont="1" applyBorder="1" applyAlignment="1" applyProtection="1">
      <alignment horizontal="center" vertical="center" wrapText="1"/>
      <protection locked="0"/>
    </xf>
    <xf numFmtId="164" fontId="18" fillId="0" borderId="8" xfId="0" applyNumberFormat="1" applyFont="1" applyBorder="1" applyAlignment="1" applyProtection="1">
      <alignment horizontal="center" vertical="center" wrapText="1"/>
      <protection locked="0"/>
    </xf>
    <xf numFmtId="19" fontId="8" fillId="0" borderId="33" xfId="0" applyNumberFormat="1" applyFont="1" applyBorder="1" applyAlignment="1" applyProtection="1">
      <alignment horizontal="center" vertical="center" wrapText="1"/>
      <protection locked="0"/>
    </xf>
    <xf numFmtId="164" fontId="19" fillId="0" borderId="8" xfId="0" applyNumberFormat="1" applyFont="1" applyBorder="1" applyAlignment="1" applyProtection="1">
      <alignment horizontal="center" vertical="center" wrapText="1"/>
      <protection locked="0"/>
    </xf>
    <xf numFmtId="1" fontId="19" fillId="0" borderId="6" xfId="0" applyNumberFormat="1" applyFont="1" applyBorder="1" applyAlignment="1" applyProtection="1">
      <alignment horizontal="center" vertical="center" wrapText="1"/>
      <protection locked="0"/>
    </xf>
    <xf numFmtId="0" fontId="20" fillId="0" borderId="8" xfId="0" applyFont="1" applyBorder="1" applyAlignment="1" applyProtection="1">
      <alignment horizontal="center" vertical="center" wrapText="1"/>
      <protection locked="0"/>
    </xf>
    <xf numFmtId="164" fontId="20" fillId="0" borderId="8" xfId="0" applyNumberFormat="1" applyFont="1" applyBorder="1" applyAlignment="1" applyProtection="1">
      <alignment horizontal="center" vertical="center" wrapText="1"/>
      <protection locked="0"/>
    </xf>
    <xf numFmtId="167" fontId="20" fillId="0" borderId="8" xfId="0" applyNumberFormat="1" applyFont="1" applyBorder="1" applyAlignment="1" applyProtection="1">
      <alignment horizontal="center" vertical="center" wrapText="1"/>
      <protection locked="0"/>
    </xf>
    <xf numFmtId="164" fontId="21" fillId="0" borderId="8" xfId="0" applyNumberFormat="1" applyFont="1" applyBorder="1" applyAlignment="1" applyProtection="1">
      <alignment horizontal="center" vertical="center" wrapText="1"/>
      <protection locked="0"/>
    </xf>
    <xf numFmtId="1" fontId="20" fillId="0" borderId="6" xfId="0" applyNumberFormat="1" applyFont="1" applyBorder="1" applyAlignment="1" applyProtection="1">
      <alignment horizontal="center" vertical="center" wrapText="1"/>
      <protection locked="0"/>
    </xf>
    <xf numFmtId="21" fontId="10" fillId="0" borderId="0" xfId="0" applyNumberFormat="1" applyFont="1" applyAlignment="1" applyProtection="1">
      <alignment horizontal="center" vertical="center" wrapText="1"/>
      <protection locked="0"/>
    </xf>
    <xf numFmtId="164" fontId="22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22" fillId="5" borderId="8" xfId="0" applyNumberFormat="1" applyFont="1" applyFill="1" applyBorder="1" applyAlignment="1" applyProtection="1">
      <alignment horizontal="center" vertical="center" wrapText="1"/>
      <protection hidden="1"/>
    </xf>
    <xf numFmtId="167" fontId="22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23" fillId="6" borderId="12" xfId="0" applyNumberFormat="1" applyFont="1" applyFill="1" applyBorder="1" applyAlignment="1">
      <alignment horizontal="center" vertical="center"/>
    </xf>
    <xf numFmtId="164" fontId="23" fillId="6" borderId="37" xfId="0" applyNumberFormat="1" applyFont="1" applyFill="1" applyBorder="1" applyAlignment="1">
      <alignment horizontal="center" vertical="center"/>
    </xf>
    <xf numFmtId="164" fontId="24" fillId="8" borderId="57" xfId="0" applyNumberFormat="1" applyFont="1" applyFill="1" applyBorder="1" applyAlignment="1">
      <alignment horizontal="center" vertical="center"/>
    </xf>
    <xf numFmtId="164" fontId="24" fillId="8" borderId="36" xfId="0" applyNumberFormat="1" applyFont="1" applyFill="1" applyBorder="1" applyAlignment="1">
      <alignment horizontal="center" vertical="center"/>
    </xf>
    <xf numFmtId="0" fontId="22" fillId="5" borderId="8" xfId="0" applyFont="1" applyFill="1" applyBorder="1" applyAlignment="1" applyProtection="1">
      <alignment horizontal="center" vertical="center" wrapText="1"/>
      <protection locked="0"/>
    </xf>
    <xf numFmtId="0" fontId="24" fillId="8" borderId="57" xfId="0" applyFont="1" applyFill="1" applyBorder="1" applyAlignment="1">
      <alignment horizontal="center" vertical="center"/>
    </xf>
    <xf numFmtId="0" fontId="25" fillId="14" borderId="0" xfId="0" applyFont="1" applyFill="1" applyAlignment="1">
      <alignment horizontal="center" vertical="center"/>
    </xf>
    <xf numFmtId="0" fontId="26" fillId="20" borderId="49" xfId="0" applyFont="1" applyFill="1" applyBorder="1" applyAlignment="1" applyProtection="1">
      <alignment wrapText="1"/>
      <protection locked="0"/>
    </xf>
    <xf numFmtId="0" fontId="26" fillId="20" borderId="51" xfId="0" applyFont="1" applyFill="1" applyBorder="1" applyAlignment="1" applyProtection="1">
      <alignment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20" borderId="50" xfId="0" applyFont="1" applyFill="1" applyBorder="1" applyAlignment="1" applyProtection="1">
      <alignment wrapText="1"/>
      <protection locked="0"/>
    </xf>
    <xf numFmtId="0" fontId="27" fillId="12" borderId="26" xfId="0" applyFont="1" applyFill="1" applyBorder="1" applyAlignment="1" applyProtection="1">
      <alignment horizontal="center" vertical="center" wrapText="1"/>
      <protection hidden="1"/>
    </xf>
    <xf numFmtId="0" fontId="27" fillId="12" borderId="21" xfId="0" applyFont="1" applyFill="1" applyBorder="1" applyAlignment="1" applyProtection="1">
      <alignment horizontal="center" vertical="center" wrapText="1"/>
      <protection hidden="1"/>
    </xf>
    <xf numFmtId="1" fontId="27" fillId="12" borderId="0" xfId="0" applyNumberFormat="1" applyFont="1" applyFill="1" applyAlignment="1" applyProtection="1">
      <alignment horizontal="center" vertical="center" wrapText="1"/>
      <protection locked="0"/>
    </xf>
    <xf numFmtId="1" fontId="27" fillId="19" borderId="0" xfId="0" quotePrefix="1" applyNumberFormat="1" applyFont="1" applyFill="1" applyAlignment="1" applyProtection="1">
      <alignment horizontal="center" vertical="center" wrapText="1"/>
      <protection hidden="1"/>
    </xf>
    <xf numFmtId="165" fontId="27" fillId="12" borderId="26" xfId="0" applyNumberFormat="1" applyFont="1" applyFill="1" applyBorder="1" applyAlignment="1" applyProtection="1">
      <alignment horizontal="center" wrapText="1"/>
      <protection hidden="1"/>
    </xf>
    <xf numFmtId="0" fontId="26" fillId="20" borderId="0" xfId="0" applyFont="1" applyFill="1" applyAlignment="1" applyProtection="1">
      <alignment wrapText="1"/>
      <protection locked="0"/>
    </xf>
    <xf numFmtId="0" fontId="27" fillId="12" borderId="27" xfId="0" applyFont="1" applyFill="1" applyBorder="1" applyAlignment="1" applyProtection="1">
      <alignment horizontal="center" vertical="center" wrapText="1"/>
      <protection hidden="1"/>
    </xf>
    <xf numFmtId="0" fontId="27" fillId="12" borderId="23" xfId="0" applyFont="1" applyFill="1" applyBorder="1" applyAlignment="1" applyProtection="1">
      <alignment horizontal="center" vertical="center" wrapText="1"/>
      <protection hidden="1"/>
    </xf>
    <xf numFmtId="0" fontId="26" fillId="20" borderId="55" xfId="0" applyFont="1" applyFill="1" applyBorder="1" applyAlignment="1" applyProtection="1">
      <alignment wrapText="1"/>
      <protection locked="0"/>
    </xf>
    <xf numFmtId="0" fontId="27" fillId="12" borderId="9" xfId="0" applyFont="1" applyFill="1" applyBorder="1" applyAlignment="1" applyProtection="1">
      <alignment horizontal="center" vertical="center" wrapText="1"/>
      <protection hidden="1"/>
    </xf>
    <xf numFmtId="0" fontId="27" fillId="12" borderId="22" xfId="0" applyFont="1" applyFill="1" applyBorder="1" applyAlignment="1" applyProtection="1">
      <alignment horizontal="center" vertical="center" wrapText="1"/>
      <protection hidden="1"/>
    </xf>
    <xf numFmtId="165" fontId="27" fillId="12" borderId="9" xfId="0" applyNumberFormat="1" applyFont="1" applyFill="1" applyBorder="1" applyAlignment="1" applyProtection="1">
      <alignment horizontal="center" wrapText="1"/>
      <protection hidden="1"/>
    </xf>
    <xf numFmtId="0" fontId="26" fillId="20" borderId="52" xfId="0" applyFont="1" applyFill="1" applyBorder="1" applyAlignment="1" applyProtection="1">
      <alignment wrapText="1"/>
      <protection locked="0"/>
    </xf>
    <xf numFmtId="0" fontId="27" fillId="12" borderId="54" xfId="0" applyFont="1" applyFill="1" applyBorder="1" applyAlignment="1" applyProtection="1">
      <alignment horizontal="center" vertical="center" wrapText="1"/>
      <protection hidden="1"/>
    </xf>
    <xf numFmtId="0" fontId="27" fillId="12" borderId="8" xfId="0" applyFont="1" applyFill="1" applyBorder="1" applyAlignment="1" applyProtection="1">
      <alignment horizontal="center" vertical="center" wrapText="1"/>
      <protection hidden="1"/>
    </xf>
    <xf numFmtId="0" fontId="27" fillId="12" borderId="56" xfId="0" applyFont="1" applyFill="1" applyBorder="1" applyAlignment="1" applyProtection="1">
      <alignment horizontal="center" vertical="center" wrapText="1"/>
      <protection hidden="1"/>
    </xf>
    <xf numFmtId="0" fontId="27" fillId="12" borderId="24" xfId="0" applyFont="1" applyFill="1" applyBorder="1" applyAlignment="1" applyProtection="1">
      <alignment horizontal="center" vertical="center" wrapText="1"/>
      <protection hidden="1"/>
    </xf>
    <xf numFmtId="165" fontId="27" fillId="12" borderId="27" xfId="0" applyNumberFormat="1" applyFont="1" applyFill="1" applyBorder="1" applyAlignment="1" applyProtection="1">
      <alignment horizontal="center" wrapText="1"/>
      <protection hidden="1"/>
    </xf>
    <xf numFmtId="0" fontId="27" fillId="12" borderId="2" xfId="0" applyFont="1" applyFill="1" applyBorder="1" applyAlignment="1" applyProtection="1">
      <alignment horizontal="center" vertical="center" wrapText="1"/>
      <protection hidden="1"/>
    </xf>
    <xf numFmtId="0" fontId="27" fillId="12" borderId="3" xfId="0" applyFont="1" applyFill="1" applyBorder="1" applyAlignment="1" applyProtection="1">
      <alignment horizontal="center" vertical="center" wrapText="1"/>
      <protection hidden="1"/>
    </xf>
    <xf numFmtId="0" fontId="27" fillId="12" borderId="0" xfId="0" applyFont="1" applyFill="1" applyAlignment="1" applyProtection="1">
      <alignment horizontal="center" vertical="center" wrapText="1"/>
      <protection locked="0"/>
    </xf>
    <xf numFmtId="0" fontId="26" fillId="20" borderId="58" xfId="0" applyFont="1" applyFill="1" applyBorder="1" applyAlignment="1" applyProtection="1">
      <alignment wrapText="1"/>
      <protection locked="0"/>
    </xf>
    <xf numFmtId="0" fontId="26" fillId="0" borderId="0" xfId="0" applyFont="1" applyAlignment="1">
      <alignment wrapText="1"/>
    </xf>
    <xf numFmtId="0" fontId="27" fillId="12" borderId="10" xfId="0" applyFont="1" applyFill="1" applyBorder="1" applyAlignment="1" applyProtection="1">
      <alignment horizontal="center" vertical="center" wrapText="1"/>
      <protection hidden="1"/>
    </xf>
    <xf numFmtId="0" fontId="27" fillId="12" borderId="59" xfId="0" applyFont="1" applyFill="1" applyBorder="1" applyAlignment="1" applyProtection="1">
      <alignment horizontal="center" vertical="center" wrapText="1"/>
      <protection hidden="1"/>
    </xf>
    <xf numFmtId="165" fontId="27" fillId="12" borderId="21" xfId="0" applyNumberFormat="1" applyFont="1" applyFill="1" applyBorder="1" applyAlignment="1" applyProtection="1">
      <alignment horizontal="center" vertical="center" wrapText="1"/>
      <protection hidden="1"/>
    </xf>
    <xf numFmtId="0" fontId="27" fillId="12" borderId="60" xfId="0" applyFont="1" applyFill="1" applyBorder="1" applyAlignment="1" applyProtection="1">
      <alignment horizontal="center" vertical="center" wrapText="1"/>
      <protection hidden="1"/>
    </xf>
    <xf numFmtId="165" fontId="27" fillId="12" borderId="23" xfId="0" applyNumberFormat="1" applyFont="1" applyFill="1" applyBorder="1" applyAlignment="1" applyProtection="1">
      <alignment horizontal="center" vertical="center" wrapText="1"/>
      <protection hidden="1"/>
    </xf>
    <xf numFmtId="0" fontId="26" fillId="20" borderId="53" xfId="0" applyFont="1" applyFill="1" applyBorder="1" applyAlignment="1" applyProtection="1">
      <alignment wrapText="1"/>
      <protection locked="0"/>
    </xf>
    <xf numFmtId="0" fontId="0" fillId="0" borderId="0" xfId="0" applyAlignment="1">
      <alignment vertical="center"/>
    </xf>
    <xf numFmtId="0" fontId="28" fillId="20" borderId="26" xfId="0" applyFont="1" applyFill="1" applyBorder="1" applyAlignment="1">
      <alignment vertical="center"/>
    </xf>
    <xf numFmtId="0" fontId="28" fillId="20" borderId="21" xfId="0" applyFont="1" applyFill="1" applyBorder="1" applyAlignment="1">
      <alignment vertical="center"/>
    </xf>
    <xf numFmtId="0" fontId="29" fillId="0" borderId="0" xfId="0" applyFont="1" applyAlignment="1">
      <alignment vertical="center"/>
    </xf>
    <xf numFmtId="0" fontId="28" fillId="23" borderId="9" xfId="0" applyFont="1" applyFill="1" applyBorder="1" applyAlignment="1">
      <alignment vertical="center"/>
    </xf>
    <xf numFmtId="1" fontId="29" fillId="23" borderId="22" xfId="0" applyNumberFormat="1" applyFont="1" applyFill="1" applyBorder="1" applyAlignment="1">
      <alignment vertical="center"/>
    </xf>
    <xf numFmtId="0" fontId="28" fillId="23" borderId="27" xfId="0" applyFont="1" applyFill="1" applyBorder="1" applyAlignment="1">
      <alignment horizontal="right" vertical="center"/>
    </xf>
    <xf numFmtId="168" fontId="29" fillId="0" borderId="10" xfId="0" applyNumberFormat="1" applyFont="1" applyBorder="1" applyAlignment="1">
      <alignment vertical="center"/>
    </xf>
    <xf numFmtId="0" fontId="28" fillId="23" borderId="10" xfId="0" applyFont="1" applyFill="1" applyBorder="1" applyAlignment="1">
      <alignment horizontal="right" vertical="center"/>
    </xf>
    <xf numFmtId="168" fontId="29" fillId="0" borderId="23" xfId="0" applyNumberFormat="1" applyFont="1" applyBorder="1" applyAlignment="1">
      <alignment vertical="center"/>
    </xf>
    <xf numFmtId="0" fontId="28" fillId="0" borderId="9" xfId="0" applyFont="1" applyBorder="1" applyAlignment="1">
      <alignment vertical="center"/>
    </xf>
    <xf numFmtId="0" fontId="28" fillId="23" borderId="27" xfId="0" applyFont="1" applyFill="1" applyBorder="1" applyAlignment="1">
      <alignment vertical="center"/>
    </xf>
    <xf numFmtId="1" fontId="29" fillId="23" borderId="23" xfId="0" applyNumberFormat="1" applyFont="1" applyFill="1" applyBorder="1" applyAlignment="1">
      <alignment vertical="center"/>
    </xf>
    <xf numFmtId="1" fontId="29" fillId="0" borderId="22" xfId="0" applyNumberFormat="1" applyFont="1" applyFill="1" applyBorder="1" applyAlignment="1">
      <alignment vertical="center"/>
    </xf>
    <xf numFmtId="0" fontId="10" fillId="0" borderId="20" xfId="0" applyFont="1" applyBorder="1" applyAlignment="1" applyProtection="1">
      <alignment horizontal="center" vertical="center" wrapText="1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26" fillId="20" borderId="52" xfId="0" applyFont="1" applyFill="1" applyBorder="1" applyAlignment="1" applyProtection="1">
      <alignment horizontal="right" vertical="center" wrapText="1"/>
    </xf>
    <xf numFmtId="0" fontId="26" fillId="20" borderId="52" xfId="0" applyFont="1" applyFill="1" applyBorder="1" applyAlignment="1" applyProtection="1">
      <alignment wrapText="1"/>
    </xf>
    <xf numFmtId="0" fontId="10" fillId="0" borderId="45" xfId="0" applyFont="1" applyBorder="1" applyAlignment="1" applyProtection="1">
      <alignment horizontal="center" vertical="center" wrapText="1"/>
      <protection locked="0"/>
    </xf>
    <xf numFmtId="0" fontId="10" fillId="0" borderId="46" xfId="0" applyFont="1" applyBorder="1" applyAlignment="1" applyProtection="1">
      <alignment horizontal="center" vertical="center" wrapText="1"/>
      <protection locked="0"/>
    </xf>
    <xf numFmtId="0" fontId="6" fillId="9" borderId="1" xfId="0" applyFont="1" applyFill="1" applyBorder="1" applyAlignment="1" applyProtection="1">
      <alignment horizontal="center" vertical="center" wrapText="1"/>
      <protection locked="0"/>
    </xf>
    <xf numFmtId="0" fontId="6" fillId="9" borderId="15" xfId="0" applyFont="1" applyFill="1" applyBorder="1" applyAlignment="1" applyProtection="1">
      <alignment horizontal="center" vertical="center" wrapText="1"/>
      <protection locked="0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34" xfId="0" applyFont="1" applyFill="1" applyBorder="1" applyAlignment="1" applyProtection="1">
      <alignment horizontal="center" vertical="center" wrapText="1"/>
      <protection locked="0"/>
    </xf>
    <xf numFmtId="0" fontId="9" fillId="11" borderId="4" xfId="0" applyFont="1" applyFill="1" applyBorder="1" applyAlignment="1" applyProtection="1">
      <alignment horizontal="center" vertical="center" textRotation="90" wrapText="1"/>
      <protection locked="0"/>
    </xf>
    <xf numFmtId="0" fontId="9" fillId="11" borderId="25" xfId="0" applyFont="1" applyFill="1" applyBorder="1" applyAlignment="1" applyProtection="1">
      <alignment horizontal="center" vertical="center" textRotation="90" wrapText="1"/>
      <protection locked="0"/>
    </xf>
    <xf numFmtId="0" fontId="9" fillId="11" borderId="39" xfId="0" applyFont="1" applyFill="1" applyBorder="1" applyAlignment="1" applyProtection="1">
      <alignment horizontal="center" vertical="center" textRotation="90" wrapText="1"/>
      <protection locked="0"/>
    </xf>
    <xf numFmtId="0" fontId="6" fillId="7" borderId="1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15" xfId="0" applyFont="1" applyFill="1" applyBorder="1" applyAlignment="1" applyProtection="1">
      <alignment horizontal="center" vertical="center" wrapText="1"/>
      <protection locked="0"/>
    </xf>
    <xf numFmtId="0" fontId="7" fillId="3" borderId="34" xfId="0" applyFont="1" applyFill="1" applyBorder="1" applyAlignment="1" applyProtection="1">
      <alignment horizontal="center" vertical="center" wrapText="1"/>
      <protection locked="0"/>
    </xf>
    <xf numFmtId="0" fontId="13" fillId="11" borderId="38" xfId="0" applyFont="1" applyFill="1" applyBorder="1" applyAlignment="1" applyProtection="1">
      <alignment horizontal="center" vertical="center" wrapText="1"/>
      <protection locked="0"/>
    </xf>
    <xf numFmtId="0" fontId="13" fillId="11" borderId="39" xfId="0" applyFont="1" applyFill="1" applyBorder="1" applyAlignment="1" applyProtection="1">
      <alignment horizontal="center" vertical="center" wrapText="1"/>
      <protection locked="0"/>
    </xf>
    <xf numFmtId="0" fontId="13" fillId="11" borderId="0" xfId="0" applyFont="1" applyFill="1" applyAlignment="1" applyProtection="1">
      <alignment horizontal="center" vertical="center" wrapText="1"/>
      <protection locked="0"/>
    </xf>
    <xf numFmtId="0" fontId="13" fillId="11" borderId="40" xfId="0" applyFont="1" applyFill="1" applyBorder="1" applyAlignment="1" applyProtection="1">
      <alignment horizontal="center" vertical="center" wrapText="1"/>
      <protection locked="0"/>
    </xf>
    <xf numFmtId="0" fontId="27" fillId="12" borderId="59" xfId="0" applyFont="1" applyFill="1" applyBorder="1" applyAlignment="1" applyProtection="1">
      <alignment horizontal="center" vertical="center" wrapText="1"/>
      <protection hidden="1"/>
    </xf>
    <xf numFmtId="0" fontId="27" fillId="12" borderId="60" xfId="0" applyFont="1" applyFill="1" applyBorder="1" applyAlignment="1" applyProtection="1">
      <alignment horizontal="center" vertical="center" wrapText="1"/>
      <protection hidden="1"/>
    </xf>
    <xf numFmtId="165" fontId="27" fillId="12" borderId="21" xfId="0" applyNumberFormat="1" applyFont="1" applyFill="1" applyBorder="1" applyAlignment="1" applyProtection="1">
      <alignment horizontal="center" vertical="center" wrapText="1"/>
      <protection hidden="1"/>
    </xf>
    <xf numFmtId="165" fontId="27" fillId="12" borderId="23" xfId="0" applyNumberFormat="1" applyFont="1" applyFill="1" applyBorder="1" applyAlignment="1" applyProtection="1">
      <alignment horizontal="center" vertical="center" wrapText="1"/>
      <protection hidden="1"/>
    </xf>
    <xf numFmtId="0" fontId="27" fillId="12" borderId="21" xfId="0" applyFont="1" applyFill="1" applyBorder="1" applyAlignment="1" applyProtection="1">
      <alignment horizontal="center" vertical="center" wrapText="1"/>
      <protection hidden="1"/>
    </xf>
    <xf numFmtId="0" fontId="27" fillId="12" borderId="22" xfId="0" applyFont="1" applyFill="1" applyBorder="1" applyAlignment="1" applyProtection="1">
      <alignment horizontal="center" vertical="center" wrapText="1"/>
      <protection hidden="1"/>
    </xf>
    <xf numFmtId="0" fontId="27" fillId="12" borderId="23" xfId="0" applyFont="1" applyFill="1" applyBorder="1" applyAlignment="1" applyProtection="1">
      <alignment horizontal="center" vertical="center" wrapText="1"/>
      <protection hidden="1"/>
    </xf>
    <xf numFmtId="0" fontId="27" fillId="12" borderId="26" xfId="0" applyFont="1" applyFill="1" applyBorder="1" applyAlignment="1" applyProtection="1">
      <alignment horizontal="center" vertical="center" wrapText="1"/>
      <protection hidden="1"/>
    </xf>
    <xf numFmtId="0" fontId="27" fillId="12" borderId="9" xfId="0" applyFont="1" applyFill="1" applyBorder="1" applyAlignment="1" applyProtection="1">
      <alignment horizontal="center" vertical="center" wrapText="1"/>
      <protection hidden="1"/>
    </xf>
    <xf numFmtId="0" fontId="27" fillId="12" borderId="27" xfId="0" applyFont="1" applyFill="1" applyBorder="1" applyAlignment="1" applyProtection="1">
      <alignment horizontal="center" vertical="center" wrapText="1"/>
      <protection hidden="1"/>
    </xf>
    <xf numFmtId="1" fontId="27" fillId="12" borderId="26" xfId="0" applyNumberFormat="1" applyFont="1" applyFill="1" applyBorder="1" applyAlignment="1" applyProtection="1">
      <alignment horizontal="center" vertical="center" wrapText="1"/>
      <protection hidden="1"/>
    </xf>
    <xf numFmtId="1" fontId="27" fillId="12" borderId="27" xfId="0" applyNumberFormat="1" applyFont="1" applyFill="1" applyBorder="1" applyAlignment="1" applyProtection="1">
      <alignment horizontal="center" vertical="center" wrapText="1"/>
      <protection hidden="1"/>
    </xf>
    <xf numFmtId="1" fontId="27" fillId="12" borderId="21" xfId="0" applyNumberFormat="1" applyFont="1" applyFill="1" applyBorder="1" applyAlignment="1" applyProtection="1">
      <alignment horizontal="center" vertical="center" wrapText="1"/>
      <protection hidden="1"/>
    </xf>
    <xf numFmtId="1" fontId="27" fillId="12" borderId="23" xfId="0" applyNumberFormat="1" applyFont="1" applyFill="1" applyBorder="1" applyAlignment="1" applyProtection="1">
      <alignment horizontal="center" vertical="center" wrapText="1"/>
      <protection hidden="1"/>
    </xf>
    <xf numFmtId="0" fontId="27" fillId="12" borderId="54" xfId="0" applyFont="1" applyFill="1" applyBorder="1" applyAlignment="1" applyProtection="1">
      <alignment horizontal="center" vertical="center" wrapText="1"/>
      <protection hidden="1"/>
    </xf>
    <xf numFmtId="0" fontId="27" fillId="12" borderId="8" xfId="0" applyFont="1" applyFill="1" applyBorder="1" applyAlignment="1" applyProtection="1">
      <alignment horizontal="center" vertical="center" wrapText="1"/>
      <protection hidden="1"/>
    </xf>
    <xf numFmtId="0" fontId="27" fillId="12" borderId="10" xfId="0" applyFont="1" applyFill="1" applyBorder="1" applyAlignment="1" applyProtection="1">
      <alignment horizontal="center" vertical="center" wrapText="1"/>
      <protection hidden="1"/>
    </xf>
    <xf numFmtId="0" fontId="28" fillId="20" borderId="26" xfId="0" applyFont="1" applyFill="1" applyBorder="1" applyAlignment="1">
      <alignment horizontal="center" vertical="center"/>
    </xf>
    <xf numFmtId="0" fontId="28" fillId="20" borderId="54" xfId="0" applyFont="1" applyFill="1" applyBorder="1" applyAlignment="1">
      <alignment horizontal="center" vertical="center"/>
    </xf>
    <xf numFmtId="0" fontId="28" fillId="20" borderId="21" xfId="0" applyFont="1" applyFill="1" applyBorder="1" applyAlignment="1">
      <alignment horizontal="center" vertical="center"/>
    </xf>
  </cellXfs>
  <cellStyles count="1">
    <cellStyle name="Normal" xfId="0" builtinId="0"/>
  </cellStyles>
  <dxfs count="11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h:mm:ss;@"/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theme="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h:mm:ss;@"/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h:mm:ss;@"/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h:mm:ss;@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7" formatCode="hh:mm:ss\ AM/PM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164" formatCode="h:mm:ss;@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ookman Old Style"/>
        <scheme val="none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medium">
          <color indexed="64"/>
        </left>
        <right style="medium">
          <color indexed="64"/>
        </right>
      </border>
    </dxf>
    <dxf>
      <numFmt numFmtId="164" formatCode="h:mm:ss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fill>
        <patternFill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numFmt numFmtId="164" formatCode="h:mm:ss;@"/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family val="1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0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FF0000"/>
        <name val="Bookman Old Style"/>
        <scheme val="none"/>
      </font>
      <numFmt numFmtId="164" formatCode="h:mm:ss;@"/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  <numFmt numFmtId="169" formatCode="h:mm:ss\ AM/P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7" formatCode="hh:mm:ss\ AM/PM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numFmt numFmtId="164" formatCode="h:mm:ss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Bookman Old Style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Bookman Old Style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/>
      </font>
      <fill>
        <patternFill>
          <bgColor rgb="FFC00000"/>
        </patternFill>
      </fill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  <dxf>
      <border>
        <left style="thin">
          <color rgb="FF5B9BD5"/>
        </left>
      </border>
    </dxf>
    <dxf>
      <border>
        <left style="thin">
          <color rgb="FF5B9BD5"/>
        </left>
      </border>
    </dxf>
    <dxf>
      <border>
        <top style="thin">
          <color rgb="FF5B9BD5"/>
        </top>
      </border>
    </dxf>
    <dxf>
      <border>
        <top style="thin">
          <color rgb="FF5B9BD5"/>
        </top>
      </border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</dxfs>
  <tableStyles count="2" defaultTableStyle="TableStyleMedium2" defaultPivotStyle="PivotStyleLight16">
    <tableStyle name="TableStyleLight13 2" pivot="0" count="9" xr9:uid="{00000000-0011-0000-FFFF-FFFF00000000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  <tableStyle name="TableStyleMedium2 2" pivot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</tableStyles>
  <colors>
    <mruColors>
      <color rgb="FFF379D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18549</xdr:colOff>
      <xdr:row>2</xdr:row>
      <xdr:rowOff>19238</xdr:rowOff>
    </xdr:from>
    <xdr:to>
      <xdr:col>11</xdr:col>
      <xdr:colOff>306549</xdr:colOff>
      <xdr:row>3</xdr:row>
      <xdr:rowOff>5325</xdr:rowOff>
    </xdr:to>
    <xdr:pic macro="[0]!'zzSamples.Table 3'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76488"/>
          <a:ext cx="288000" cy="217407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</xdr:row>
      <xdr:rowOff>3712</xdr:rowOff>
    </xdr:from>
    <xdr:to>
      <xdr:col>11</xdr:col>
      <xdr:colOff>306549</xdr:colOff>
      <xdr:row>3</xdr:row>
      <xdr:rowOff>219712</xdr:rowOff>
    </xdr:to>
    <xdr:pic macro="[0]!'zzSamples.Table 4'"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08102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</xdr:row>
      <xdr:rowOff>12670</xdr:rowOff>
    </xdr:from>
    <xdr:to>
      <xdr:col>11</xdr:col>
      <xdr:colOff>306549</xdr:colOff>
      <xdr:row>5</xdr:row>
      <xdr:rowOff>2451</xdr:rowOff>
    </xdr:to>
    <xdr:pic macro="[0]!'zzSamples.Table 5'"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31989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</xdr:row>
      <xdr:rowOff>15610</xdr:rowOff>
    </xdr:from>
    <xdr:to>
      <xdr:col>11</xdr:col>
      <xdr:colOff>306549</xdr:colOff>
      <xdr:row>6</xdr:row>
      <xdr:rowOff>1697</xdr:rowOff>
    </xdr:to>
    <xdr:pic macro="[0]!'zzSamples.Table 6'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55274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6</xdr:row>
      <xdr:rowOff>20417</xdr:rowOff>
    </xdr:from>
    <xdr:to>
      <xdr:col>11</xdr:col>
      <xdr:colOff>306549</xdr:colOff>
      <xdr:row>7</xdr:row>
      <xdr:rowOff>6502</xdr:rowOff>
    </xdr:to>
    <xdr:pic macro="[0]!'zzSamples.Table 7'"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78746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7</xdr:row>
      <xdr:rowOff>25370</xdr:rowOff>
    </xdr:from>
    <xdr:to>
      <xdr:col>11</xdr:col>
      <xdr:colOff>306549</xdr:colOff>
      <xdr:row>8</xdr:row>
      <xdr:rowOff>11458</xdr:rowOff>
    </xdr:to>
    <xdr:pic macro="[0]!'zzSamples.Table 8'"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202233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8</xdr:row>
      <xdr:rowOff>21190</xdr:rowOff>
    </xdr:from>
    <xdr:to>
      <xdr:col>11</xdr:col>
      <xdr:colOff>306549</xdr:colOff>
      <xdr:row>9</xdr:row>
      <xdr:rowOff>7276</xdr:rowOff>
    </xdr:to>
    <xdr:pic macro="[0]!'zzSamples.Table 9'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224806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9</xdr:row>
      <xdr:rowOff>17562</xdr:rowOff>
    </xdr:from>
    <xdr:to>
      <xdr:col>11</xdr:col>
      <xdr:colOff>306549</xdr:colOff>
      <xdr:row>10</xdr:row>
      <xdr:rowOff>3647</xdr:rowOff>
    </xdr:to>
    <xdr:pic macro="[0]!'zzSamples.Table 10'"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247435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10</xdr:row>
      <xdr:rowOff>22368</xdr:rowOff>
    </xdr:from>
    <xdr:to>
      <xdr:col>11</xdr:col>
      <xdr:colOff>306549</xdr:colOff>
      <xdr:row>11</xdr:row>
      <xdr:rowOff>8455</xdr:rowOff>
    </xdr:to>
    <xdr:pic macro="[0]!'zzSamples.Table 11'"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270907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11</xdr:row>
      <xdr:rowOff>20462</xdr:rowOff>
    </xdr:from>
    <xdr:to>
      <xdr:col>11</xdr:col>
      <xdr:colOff>306549</xdr:colOff>
      <xdr:row>12</xdr:row>
      <xdr:rowOff>6549</xdr:rowOff>
    </xdr:to>
    <xdr:pic macro="[0]!'zzSamples.Table 12'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2937083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12</xdr:row>
      <xdr:rowOff>17594</xdr:rowOff>
    </xdr:from>
    <xdr:to>
      <xdr:col>11</xdr:col>
      <xdr:colOff>306549</xdr:colOff>
      <xdr:row>13</xdr:row>
      <xdr:rowOff>3679</xdr:rowOff>
    </xdr:to>
    <xdr:pic macro="[0]!'zzSamples.Table 13'"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316412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13</xdr:row>
      <xdr:rowOff>17112</xdr:rowOff>
    </xdr:from>
    <xdr:to>
      <xdr:col>11</xdr:col>
      <xdr:colOff>306549</xdr:colOff>
      <xdr:row>14</xdr:row>
      <xdr:rowOff>3199</xdr:rowOff>
    </xdr:to>
    <xdr:pic macro="[0]!'zzSamples.Table 14'"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339356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14</xdr:row>
      <xdr:rowOff>26923</xdr:rowOff>
    </xdr:from>
    <xdr:to>
      <xdr:col>11</xdr:col>
      <xdr:colOff>306549</xdr:colOff>
      <xdr:row>15</xdr:row>
      <xdr:rowOff>13008</xdr:rowOff>
    </xdr:to>
    <xdr:pic macro="[0]!'zzSamples.Table 15'"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363328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15</xdr:row>
      <xdr:rowOff>29472</xdr:rowOff>
    </xdr:from>
    <xdr:to>
      <xdr:col>11</xdr:col>
      <xdr:colOff>306549</xdr:colOff>
      <xdr:row>16</xdr:row>
      <xdr:rowOff>15558</xdr:rowOff>
    </xdr:to>
    <xdr:pic macro="[0]!'zzSamples.Table 16'"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386574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16</xdr:row>
      <xdr:rowOff>20031</xdr:rowOff>
    </xdr:from>
    <xdr:to>
      <xdr:col>11</xdr:col>
      <xdr:colOff>306549</xdr:colOff>
      <xdr:row>17</xdr:row>
      <xdr:rowOff>6119</xdr:rowOff>
    </xdr:to>
    <xdr:pic macro="[0]!'zzSamples.Table 17'"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408622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17</xdr:row>
      <xdr:rowOff>19409</xdr:rowOff>
    </xdr:from>
    <xdr:to>
      <xdr:col>11</xdr:col>
      <xdr:colOff>306549</xdr:colOff>
      <xdr:row>18</xdr:row>
      <xdr:rowOff>5494</xdr:rowOff>
    </xdr:to>
    <xdr:pic macro="[0]!'zzSamples.Table 18'">
      <xdr:nvPicPr>
        <xdr:cNvPr id="17" name="Ima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431551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18</xdr:row>
      <xdr:rowOff>20274</xdr:rowOff>
    </xdr:from>
    <xdr:to>
      <xdr:col>11</xdr:col>
      <xdr:colOff>306549</xdr:colOff>
      <xdr:row>19</xdr:row>
      <xdr:rowOff>10056</xdr:rowOff>
    </xdr:to>
    <xdr:pic macro="[0]!'zzSamples.Table 19'">
      <xdr:nvPicPr>
        <xdr:cNvPr id="18" name="Image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454629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19</xdr:row>
      <xdr:rowOff>17307</xdr:rowOff>
    </xdr:from>
    <xdr:to>
      <xdr:col>11</xdr:col>
      <xdr:colOff>306549</xdr:colOff>
      <xdr:row>20</xdr:row>
      <xdr:rowOff>7089</xdr:rowOff>
    </xdr:to>
    <xdr:pic macro="[0]!'zzSamples.Table 20'">
      <xdr:nvPicPr>
        <xdr:cNvPr id="19" name="Imagen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477980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17157</xdr:colOff>
      <xdr:row>20</xdr:row>
      <xdr:rowOff>19676</xdr:rowOff>
    </xdr:from>
    <xdr:to>
      <xdr:col>11</xdr:col>
      <xdr:colOff>306549</xdr:colOff>
      <xdr:row>21</xdr:row>
      <xdr:rowOff>5761</xdr:rowOff>
    </xdr:to>
    <xdr:pic macro="[0]!'zzSamples.Table 21'">
      <xdr:nvPicPr>
        <xdr:cNvPr id="20" name="Imagen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0657" y="5018659"/>
          <a:ext cx="289392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21</xdr:row>
      <xdr:rowOff>15030</xdr:rowOff>
    </xdr:from>
    <xdr:to>
      <xdr:col>11</xdr:col>
      <xdr:colOff>306549</xdr:colOff>
      <xdr:row>22</xdr:row>
      <xdr:rowOff>1117</xdr:rowOff>
    </xdr:to>
    <xdr:pic macro="[0]!'zzSamples.Table 22'"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524392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22</xdr:row>
      <xdr:rowOff>10379</xdr:rowOff>
    </xdr:from>
    <xdr:to>
      <xdr:col>11</xdr:col>
      <xdr:colOff>306549</xdr:colOff>
      <xdr:row>23</xdr:row>
      <xdr:rowOff>159</xdr:rowOff>
    </xdr:to>
    <xdr:pic macro="[0]!'zzSamples.Table 23'"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546918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23</xdr:row>
      <xdr:rowOff>15333</xdr:rowOff>
    </xdr:from>
    <xdr:to>
      <xdr:col>11</xdr:col>
      <xdr:colOff>306549</xdr:colOff>
      <xdr:row>24</xdr:row>
      <xdr:rowOff>1420</xdr:rowOff>
    </xdr:to>
    <xdr:pic macro="[0]!'zzSamples.Table 24'"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570405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24</xdr:row>
      <xdr:rowOff>11442</xdr:rowOff>
    </xdr:from>
    <xdr:to>
      <xdr:col>11</xdr:col>
      <xdr:colOff>306549</xdr:colOff>
      <xdr:row>25</xdr:row>
      <xdr:rowOff>1224</xdr:rowOff>
    </xdr:to>
    <xdr:pic macro="[0]!'zzSamples.Table 25'"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593008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25</xdr:row>
      <xdr:rowOff>10961</xdr:rowOff>
    </xdr:from>
    <xdr:to>
      <xdr:col>11</xdr:col>
      <xdr:colOff>306549</xdr:colOff>
      <xdr:row>26</xdr:row>
      <xdr:rowOff>741</xdr:rowOff>
    </xdr:to>
    <xdr:pic macro="[0]!'zzSamples.Table 26'"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6159513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26</xdr:row>
      <xdr:rowOff>10482</xdr:rowOff>
    </xdr:from>
    <xdr:to>
      <xdr:col>11</xdr:col>
      <xdr:colOff>306549</xdr:colOff>
      <xdr:row>27</xdr:row>
      <xdr:rowOff>264</xdr:rowOff>
    </xdr:to>
    <xdr:pic macro="[0]!'zzSamples.Table 27'"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638894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27</xdr:row>
      <xdr:rowOff>13033</xdr:rowOff>
    </xdr:from>
    <xdr:to>
      <xdr:col>11</xdr:col>
      <xdr:colOff>306549</xdr:colOff>
      <xdr:row>28</xdr:row>
      <xdr:rowOff>2815</xdr:rowOff>
    </xdr:to>
    <xdr:pic macro="[0]!'zzSamples.Table 28'">
      <xdr:nvPicPr>
        <xdr:cNvPr id="27" name="Imag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662141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28</xdr:row>
      <xdr:rowOff>13309</xdr:rowOff>
    </xdr:from>
    <xdr:to>
      <xdr:col>11</xdr:col>
      <xdr:colOff>306549</xdr:colOff>
      <xdr:row>29</xdr:row>
      <xdr:rowOff>3089</xdr:rowOff>
    </xdr:to>
    <xdr:pic macro="[0]!'zzSamples.Table 29'"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685160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29</xdr:row>
      <xdr:rowOff>15230</xdr:rowOff>
    </xdr:from>
    <xdr:to>
      <xdr:col>11</xdr:col>
      <xdr:colOff>306549</xdr:colOff>
      <xdr:row>30</xdr:row>
      <xdr:rowOff>1316</xdr:rowOff>
    </xdr:to>
    <xdr:pic macro="[0]!'zzSamples.Table 30'"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708343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30</xdr:row>
      <xdr:rowOff>10124</xdr:rowOff>
    </xdr:from>
    <xdr:to>
      <xdr:col>11</xdr:col>
      <xdr:colOff>306549</xdr:colOff>
      <xdr:row>31</xdr:row>
      <xdr:rowOff>2006</xdr:rowOff>
    </xdr:to>
    <xdr:pic macro="[0]!'zzSamples.Table 31'">
      <xdr:nvPicPr>
        <xdr:cNvPr id="30" name="Ima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730824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31</xdr:row>
      <xdr:rowOff>13395</xdr:rowOff>
    </xdr:from>
    <xdr:to>
      <xdr:col>11</xdr:col>
      <xdr:colOff>306549</xdr:colOff>
      <xdr:row>32</xdr:row>
      <xdr:rowOff>3176</xdr:rowOff>
    </xdr:to>
    <xdr:pic macro="[0]!'zzSamples.Table 32'"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754142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32</xdr:row>
      <xdr:rowOff>14543</xdr:rowOff>
    </xdr:from>
    <xdr:to>
      <xdr:col>11</xdr:col>
      <xdr:colOff>306549</xdr:colOff>
      <xdr:row>33</xdr:row>
      <xdr:rowOff>630</xdr:rowOff>
    </xdr:to>
    <xdr:pic macro="[0]!'zzSamples.Table 33'"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777906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33</xdr:row>
      <xdr:rowOff>14783</xdr:rowOff>
    </xdr:from>
    <xdr:to>
      <xdr:col>11</xdr:col>
      <xdr:colOff>306549</xdr:colOff>
      <xdr:row>34</xdr:row>
      <xdr:rowOff>6664</xdr:rowOff>
    </xdr:to>
    <xdr:pic macro="[0]!'zzSamples.Table 34'"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00921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34</xdr:row>
      <xdr:rowOff>12523</xdr:rowOff>
    </xdr:from>
    <xdr:to>
      <xdr:col>11</xdr:col>
      <xdr:colOff>306549</xdr:colOff>
      <xdr:row>35</xdr:row>
      <xdr:rowOff>4405</xdr:rowOff>
    </xdr:to>
    <xdr:pic macro="[0]!'zzSamples.Table 35'">
      <xdr:nvPicPr>
        <xdr:cNvPr id="34" name="Imagen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24343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35</xdr:row>
      <xdr:rowOff>12136</xdr:rowOff>
    </xdr:from>
    <xdr:to>
      <xdr:col>11</xdr:col>
      <xdr:colOff>306549</xdr:colOff>
      <xdr:row>36</xdr:row>
      <xdr:rowOff>4020</xdr:rowOff>
    </xdr:to>
    <xdr:pic macro="[0]!'zzSamples.Table 36'">
      <xdr:nvPicPr>
        <xdr:cNvPr id="35" name="Imagen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479533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36</xdr:row>
      <xdr:rowOff>11861</xdr:rowOff>
    </xdr:from>
    <xdr:to>
      <xdr:col>11</xdr:col>
      <xdr:colOff>306549</xdr:colOff>
      <xdr:row>37</xdr:row>
      <xdr:rowOff>3742</xdr:rowOff>
    </xdr:to>
    <xdr:pic macro="[0]!'zzSamples.Table 37'">
      <xdr:nvPicPr>
        <xdr:cNvPr id="36" name="Image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71574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37</xdr:row>
      <xdr:rowOff>10826</xdr:rowOff>
    </xdr:from>
    <xdr:to>
      <xdr:col>11</xdr:col>
      <xdr:colOff>306549</xdr:colOff>
      <xdr:row>38</xdr:row>
      <xdr:rowOff>2710</xdr:rowOff>
    </xdr:to>
    <xdr:pic macro="[0]!'zzSamples.Table 38'">
      <xdr:nvPicPr>
        <xdr:cNvPr id="37" name="Imagen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895118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38</xdr:row>
      <xdr:rowOff>13959</xdr:rowOff>
    </xdr:from>
    <xdr:to>
      <xdr:col>11</xdr:col>
      <xdr:colOff>306549</xdr:colOff>
      <xdr:row>39</xdr:row>
      <xdr:rowOff>1359</xdr:rowOff>
    </xdr:to>
    <xdr:pic macro="[0]!'zzSamples.Table 39'">
      <xdr:nvPicPr>
        <xdr:cNvPr id="38" name="Imagen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919080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39</xdr:row>
      <xdr:rowOff>17562</xdr:rowOff>
    </xdr:from>
    <xdr:to>
      <xdr:col>11</xdr:col>
      <xdr:colOff>306549</xdr:colOff>
      <xdr:row>40</xdr:row>
      <xdr:rowOff>3647</xdr:rowOff>
    </xdr:to>
    <xdr:pic macro="[0]!'zzSamples.Table 40'">
      <xdr:nvPicPr>
        <xdr:cNvPr id="39" name="Imagen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943089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40</xdr:row>
      <xdr:rowOff>19484</xdr:rowOff>
    </xdr:from>
    <xdr:to>
      <xdr:col>11</xdr:col>
      <xdr:colOff>306549</xdr:colOff>
      <xdr:row>41</xdr:row>
      <xdr:rowOff>5571</xdr:rowOff>
    </xdr:to>
    <xdr:pic macro="[0]!'zzSamples.Table 41'"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966272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41</xdr:row>
      <xdr:rowOff>21402</xdr:rowOff>
    </xdr:from>
    <xdr:to>
      <xdr:col>11</xdr:col>
      <xdr:colOff>306549</xdr:colOff>
      <xdr:row>42</xdr:row>
      <xdr:rowOff>7488</xdr:rowOff>
    </xdr:to>
    <xdr:pic macro="[0]!'zzSamples.Table 42'"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989455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42</xdr:row>
      <xdr:rowOff>26355</xdr:rowOff>
    </xdr:from>
    <xdr:to>
      <xdr:col>11</xdr:col>
      <xdr:colOff>306549</xdr:colOff>
      <xdr:row>43</xdr:row>
      <xdr:rowOff>12440</xdr:rowOff>
    </xdr:to>
    <xdr:pic macro="[0]!'zzSamples.Table 43'"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012942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43</xdr:row>
      <xdr:rowOff>33152</xdr:rowOff>
    </xdr:from>
    <xdr:to>
      <xdr:col>11</xdr:col>
      <xdr:colOff>306549</xdr:colOff>
      <xdr:row>44</xdr:row>
      <xdr:rowOff>19240</xdr:rowOff>
    </xdr:to>
    <xdr:pic macro="[0]!'zzSamples.Table 44'"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036613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44</xdr:row>
      <xdr:rowOff>32813</xdr:rowOff>
    </xdr:from>
    <xdr:to>
      <xdr:col>11</xdr:col>
      <xdr:colOff>306549</xdr:colOff>
      <xdr:row>45</xdr:row>
      <xdr:rowOff>18898</xdr:rowOff>
    </xdr:to>
    <xdr:pic macro="[0]!'zzSamples.Table 45'"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059571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45</xdr:row>
      <xdr:rowOff>28456</xdr:rowOff>
    </xdr:from>
    <xdr:to>
      <xdr:col>11</xdr:col>
      <xdr:colOff>306549</xdr:colOff>
      <xdr:row>46</xdr:row>
      <xdr:rowOff>14543</xdr:rowOff>
    </xdr:to>
    <xdr:pic macro="[0]!'zzSamples.Table 46'"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082126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46</xdr:row>
      <xdr:rowOff>29387</xdr:rowOff>
    </xdr:from>
    <xdr:to>
      <xdr:col>11</xdr:col>
      <xdr:colOff>306549</xdr:colOff>
      <xdr:row>47</xdr:row>
      <xdr:rowOff>15474</xdr:rowOff>
    </xdr:to>
    <xdr:pic macro="[0]!'zzSamples.Table 47'"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105211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47</xdr:row>
      <xdr:rowOff>16667</xdr:rowOff>
    </xdr:from>
    <xdr:to>
      <xdr:col>11</xdr:col>
      <xdr:colOff>306549</xdr:colOff>
      <xdr:row>48</xdr:row>
      <xdr:rowOff>2752</xdr:rowOff>
    </xdr:to>
    <xdr:pic macro="[0]!'zzSamples.Table 48'"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126930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48</xdr:row>
      <xdr:rowOff>19812</xdr:rowOff>
    </xdr:from>
    <xdr:to>
      <xdr:col>11</xdr:col>
      <xdr:colOff>306549</xdr:colOff>
      <xdr:row>49</xdr:row>
      <xdr:rowOff>5897</xdr:rowOff>
    </xdr:to>
    <xdr:pic macro="[0]!'zzSamples.Table 49'"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150236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49</xdr:row>
      <xdr:rowOff>17482</xdr:rowOff>
    </xdr:from>
    <xdr:to>
      <xdr:col>11</xdr:col>
      <xdr:colOff>306549</xdr:colOff>
      <xdr:row>50</xdr:row>
      <xdr:rowOff>3571</xdr:rowOff>
    </xdr:to>
    <xdr:pic macro="[0]!'zzSamples.Table 50'"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172994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50</xdr:row>
      <xdr:rowOff>22435</xdr:rowOff>
    </xdr:from>
    <xdr:to>
      <xdr:col>11</xdr:col>
      <xdr:colOff>306549</xdr:colOff>
      <xdr:row>51</xdr:row>
      <xdr:rowOff>12837</xdr:rowOff>
    </xdr:to>
    <xdr:pic macro="[0]!'zzSamples.Table 51'">
      <xdr:nvPicPr>
        <xdr:cNvPr id="50" name="Imag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196481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51</xdr:row>
      <xdr:rowOff>25115</xdr:rowOff>
    </xdr:from>
    <xdr:to>
      <xdr:col>11</xdr:col>
      <xdr:colOff>306549</xdr:colOff>
      <xdr:row>52</xdr:row>
      <xdr:rowOff>15837</xdr:rowOff>
    </xdr:to>
    <xdr:pic macro="[0]!'zzSamples.Table 52'">
      <xdr:nvPicPr>
        <xdr:cNvPr id="51" name="Imag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220397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52</xdr:row>
      <xdr:rowOff>42564</xdr:rowOff>
    </xdr:from>
    <xdr:to>
      <xdr:col>11</xdr:col>
      <xdr:colOff>306549</xdr:colOff>
      <xdr:row>53</xdr:row>
      <xdr:rowOff>33288</xdr:rowOff>
    </xdr:to>
    <xdr:pic macro="[0]!'zzSamples.Table 53'">
      <xdr:nvPicPr>
        <xdr:cNvPr id="52" name="Imag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245790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53</xdr:row>
      <xdr:rowOff>36190</xdr:rowOff>
    </xdr:from>
    <xdr:to>
      <xdr:col>11</xdr:col>
      <xdr:colOff>306549</xdr:colOff>
      <xdr:row>54</xdr:row>
      <xdr:rowOff>26913</xdr:rowOff>
    </xdr:to>
    <xdr:pic macro="[0]!'zzSamples.Table 54'">
      <xdr:nvPicPr>
        <xdr:cNvPr id="53" name="Imagen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268801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54</xdr:row>
      <xdr:rowOff>29232</xdr:rowOff>
    </xdr:from>
    <xdr:to>
      <xdr:col>11</xdr:col>
      <xdr:colOff>306549</xdr:colOff>
      <xdr:row>55</xdr:row>
      <xdr:rowOff>15320</xdr:rowOff>
    </xdr:to>
    <xdr:pic macro="[0]!'zzSamples.Table 55'">
      <xdr:nvPicPr>
        <xdr:cNvPr id="54" name="Imagen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291754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55</xdr:row>
      <xdr:rowOff>21165</xdr:rowOff>
    </xdr:from>
    <xdr:to>
      <xdr:col>11</xdr:col>
      <xdr:colOff>306549</xdr:colOff>
      <xdr:row>56</xdr:row>
      <xdr:rowOff>7249</xdr:rowOff>
    </xdr:to>
    <xdr:pic macro="[0]!'zzSamples.Table 56'">
      <xdr:nvPicPr>
        <xdr:cNvPr id="55" name="Imag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313938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18549</xdr:colOff>
      <xdr:row>56</xdr:row>
      <xdr:rowOff>23077</xdr:rowOff>
    </xdr:from>
    <xdr:to>
      <xdr:col>11</xdr:col>
      <xdr:colOff>306549</xdr:colOff>
      <xdr:row>57</xdr:row>
      <xdr:rowOff>13801</xdr:rowOff>
    </xdr:to>
    <xdr:pic macro="[0]!'zzSamples.Table 57'">
      <xdr:nvPicPr>
        <xdr:cNvPr id="56" name="Imagen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l="17339" t="18261" r="17021" b="16765"/>
        <a:stretch/>
      </xdr:blipFill>
      <xdr:spPr>
        <a:xfrm>
          <a:off x="8972049" y="13371215"/>
          <a:ext cx="288000" cy="216000"/>
        </a:xfrm>
        <a:prstGeom prst="rect">
          <a:avLst/>
        </a:prstGeom>
      </xdr:spPr>
    </xdr:pic>
    <xdr:clientData/>
  </xdr:twoCellAnchor>
  <xdr:twoCellAnchor>
    <xdr:from>
      <xdr:col>20</xdr:col>
      <xdr:colOff>1333500</xdr:colOff>
      <xdr:row>33</xdr:row>
      <xdr:rowOff>224117</xdr:rowOff>
    </xdr:from>
    <xdr:to>
      <xdr:col>22</xdr:col>
      <xdr:colOff>285750</xdr:colOff>
      <xdr:row>35</xdr:row>
      <xdr:rowOff>224117</xdr:rowOff>
    </xdr:to>
    <xdr:sp macro="[0]!AllManager" textlink="">
      <xdr:nvSpPr>
        <xdr:cNvPr id="63" name="Rectángul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9743964" y="8293153"/>
          <a:ext cx="1333500" cy="489857"/>
        </a:xfrm>
        <a:prstGeom prst="rect">
          <a:avLst/>
        </a:prstGeom>
        <a:solidFill>
          <a:schemeClr val="bg1">
            <a:alpha val="0"/>
          </a:schemeClr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21</xdr:col>
      <xdr:colOff>0</xdr:colOff>
      <xdr:row>51</xdr:row>
      <xdr:rowOff>228600</xdr:rowOff>
    </xdr:from>
    <xdr:to>
      <xdr:col>22</xdr:col>
      <xdr:colOff>285750</xdr:colOff>
      <xdr:row>53</xdr:row>
      <xdr:rowOff>228600</xdr:rowOff>
    </xdr:to>
    <xdr:sp macro="[0]!weiters" textlink="">
      <xdr:nvSpPr>
        <xdr:cNvPr id="64" name="Rectángul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9485429" y="12570279"/>
          <a:ext cx="1387928" cy="489857"/>
        </a:xfrm>
        <a:prstGeom prst="rect">
          <a:avLst/>
        </a:prstGeom>
        <a:solidFill>
          <a:schemeClr val="bg1">
            <a:alpha val="0"/>
          </a:schemeClr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22</xdr:col>
      <xdr:colOff>17169</xdr:colOff>
      <xdr:row>2</xdr:row>
      <xdr:rowOff>11906</xdr:rowOff>
    </xdr:from>
    <xdr:to>
      <xdr:col>22</xdr:col>
      <xdr:colOff>305169</xdr:colOff>
      <xdr:row>3</xdr:row>
      <xdr:rowOff>1688</xdr:rowOff>
    </xdr:to>
    <xdr:pic macro="[0]!'zzSamples.Process 3'">
      <xdr:nvPicPr>
        <xdr:cNvPr id="65" name="Imagen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85725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3</xdr:row>
      <xdr:rowOff>14839</xdr:rowOff>
    </xdr:from>
    <xdr:to>
      <xdr:col>22</xdr:col>
      <xdr:colOff>305169</xdr:colOff>
      <xdr:row>4</xdr:row>
      <xdr:rowOff>4620</xdr:rowOff>
    </xdr:to>
    <xdr:pic macro="[0]!'zzSamples.Process 4'">
      <xdr:nvPicPr>
        <xdr:cNvPr id="66" name="Imagen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108640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4</xdr:row>
      <xdr:rowOff>10200</xdr:rowOff>
    </xdr:from>
    <xdr:to>
      <xdr:col>22</xdr:col>
      <xdr:colOff>305169</xdr:colOff>
      <xdr:row>5</xdr:row>
      <xdr:rowOff>2082</xdr:rowOff>
    </xdr:to>
    <xdr:pic macro="[0]!'zzSamples.Process 5'">
      <xdr:nvPicPr>
        <xdr:cNvPr id="67" name="Imagen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130798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5</xdr:row>
      <xdr:rowOff>9240</xdr:rowOff>
    </xdr:from>
    <xdr:to>
      <xdr:col>22</xdr:col>
      <xdr:colOff>305169</xdr:colOff>
      <xdr:row>6</xdr:row>
      <xdr:rowOff>1123</xdr:rowOff>
    </xdr:to>
    <xdr:pic macro="[0]!'zzSamples.Process 6'">
      <xdr:nvPicPr>
        <xdr:cNvPr id="68" name="Imagen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153324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6</xdr:row>
      <xdr:rowOff>13939</xdr:rowOff>
    </xdr:from>
    <xdr:to>
      <xdr:col>22</xdr:col>
      <xdr:colOff>305169</xdr:colOff>
      <xdr:row>7</xdr:row>
      <xdr:rowOff>3719</xdr:rowOff>
    </xdr:to>
    <xdr:pic macro="[0]!'zzSamples.Process 7'">
      <xdr:nvPicPr>
        <xdr:cNvPr id="69" name="Imagen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176415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7</xdr:row>
      <xdr:rowOff>8597</xdr:rowOff>
    </xdr:from>
    <xdr:to>
      <xdr:col>22</xdr:col>
      <xdr:colOff>305169</xdr:colOff>
      <xdr:row>8</xdr:row>
      <xdr:rowOff>480</xdr:rowOff>
    </xdr:to>
    <xdr:pic macro="[0]!'zzSamples.Process 8'">
      <xdr:nvPicPr>
        <xdr:cNvPr id="70" name="Imagen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198503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8</xdr:row>
      <xdr:rowOff>9911</xdr:rowOff>
    </xdr:from>
    <xdr:to>
      <xdr:col>22</xdr:col>
      <xdr:colOff>305169</xdr:colOff>
      <xdr:row>9</xdr:row>
      <xdr:rowOff>1793</xdr:rowOff>
    </xdr:to>
    <xdr:pic macro="[0]!'zzSamples.Process 9'">
      <xdr:nvPicPr>
        <xdr:cNvPr id="71" name="Imagen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221256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9</xdr:row>
      <xdr:rowOff>8951</xdr:rowOff>
    </xdr:from>
    <xdr:to>
      <xdr:col>22</xdr:col>
      <xdr:colOff>305169</xdr:colOff>
      <xdr:row>10</xdr:row>
      <xdr:rowOff>833</xdr:rowOff>
    </xdr:to>
    <xdr:pic macro="[0]!'zzSamples.Process 10'">
      <xdr:nvPicPr>
        <xdr:cNvPr id="72" name="Imagen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243782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10</xdr:row>
      <xdr:rowOff>7659</xdr:rowOff>
    </xdr:from>
    <xdr:to>
      <xdr:col>22</xdr:col>
      <xdr:colOff>305169</xdr:colOff>
      <xdr:row>10</xdr:row>
      <xdr:rowOff>223659</xdr:rowOff>
    </xdr:to>
    <xdr:pic macro="[0]!'zzSamples.Process 11'">
      <xdr:nvPicPr>
        <xdr:cNvPr id="73" name="Imagen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2662753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11</xdr:row>
      <xdr:rowOff>9645</xdr:rowOff>
    </xdr:from>
    <xdr:to>
      <xdr:col>22</xdr:col>
      <xdr:colOff>305169</xdr:colOff>
      <xdr:row>12</xdr:row>
      <xdr:rowOff>1527</xdr:rowOff>
    </xdr:to>
    <xdr:pic macro="[0]!'zzSamples.Process 12'">
      <xdr:nvPicPr>
        <xdr:cNvPr id="74" name="Imagen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289095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12</xdr:row>
      <xdr:rowOff>12333</xdr:rowOff>
    </xdr:from>
    <xdr:to>
      <xdr:col>22</xdr:col>
      <xdr:colOff>305169</xdr:colOff>
      <xdr:row>13</xdr:row>
      <xdr:rowOff>2113</xdr:rowOff>
    </xdr:to>
    <xdr:pic macro="[0]!'zzSamples.Process 13'">
      <xdr:nvPicPr>
        <xdr:cNvPr id="75" name="Imagen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311986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13</xdr:row>
      <xdr:rowOff>11373</xdr:rowOff>
    </xdr:from>
    <xdr:to>
      <xdr:col>22</xdr:col>
      <xdr:colOff>305169</xdr:colOff>
      <xdr:row>14</xdr:row>
      <xdr:rowOff>1155</xdr:rowOff>
    </xdr:to>
    <xdr:pic macro="[0]!'zzSamples.Process 14'">
      <xdr:nvPicPr>
        <xdr:cNvPr id="76" name="Imagen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3345123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14</xdr:row>
      <xdr:rowOff>4165</xdr:rowOff>
    </xdr:from>
    <xdr:to>
      <xdr:col>22</xdr:col>
      <xdr:colOff>305169</xdr:colOff>
      <xdr:row>14</xdr:row>
      <xdr:rowOff>220165</xdr:rowOff>
    </xdr:to>
    <xdr:pic macro="[0]!'zzSamples.Process 15'">
      <xdr:nvPicPr>
        <xdr:cNvPr id="77" name="Imagen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356413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15</xdr:row>
      <xdr:rowOff>3402</xdr:rowOff>
    </xdr:from>
    <xdr:to>
      <xdr:col>22</xdr:col>
      <xdr:colOff>305169</xdr:colOff>
      <xdr:row>15</xdr:row>
      <xdr:rowOff>219402</xdr:rowOff>
    </xdr:to>
    <xdr:pic macro="[0]!'zzSamples.Process 16'">
      <xdr:nvPicPr>
        <xdr:cNvPr id="78" name="Imagen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378959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17169</xdr:colOff>
      <xdr:row>16</xdr:row>
      <xdr:rowOff>12043</xdr:rowOff>
    </xdr:from>
    <xdr:to>
      <xdr:col>22</xdr:col>
      <xdr:colOff>305169</xdr:colOff>
      <xdr:row>17</xdr:row>
      <xdr:rowOff>1825</xdr:rowOff>
    </xdr:to>
    <xdr:pic macro="[0]!'zzSamples.Process 17'">
      <xdr:nvPicPr>
        <xdr:cNvPr id="79" name="Imagen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4024449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36</xdr:row>
      <xdr:rowOff>13607</xdr:rowOff>
    </xdr:from>
    <xdr:to>
      <xdr:col>21</xdr:col>
      <xdr:colOff>349214</xdr:colOff>
      <xdr:row>37</xdr:row>
      <xdr:rowOff>1005</xdr:rowOff>
    </xdr:to>
    <xdr:pic macro="[0]!'zzSamples.Manager 37'">
      <xdr:nvPicPr>
        <xdr:cNvPr id="80" name="Imagen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866775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37</xdr:row>
      <xdr:rowOff>9673</xdr:rowOff>
    </xdr:from>
    <xdr:to>
      <xdr:col>21</xdr:col>
      <xdr:colOff>349214</xdr:colOff>
      <xdr:row>38</xdr:row>
      <xdr:rowOff>1557</xdr:rowOff>
    </xdr:to>
    <xdr:pic macro="[0]!'zzSamples.Manager 38'">
      <xdr:nvPicPr>
        <xdr:cNvPr id="81" name="Imagen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889241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38</xdr:row>
      <xdr:rowOff>11183</xdr:rowOff>
    </xdr:from>
    <xdr:to>
      <xdr:col>21</xdr:col>
      <xdr:colOff>349214</xdr:colOff>
      <xdr:row>39</xdr:row>
      <xdr:rowOff>3065</xdr:rowOff>
    </xdr:to>
    <xdr:pic macro="[0]!'zzSamples.Manager 39'">
      <xdr:nvPicPr>
        <xdr:cNvPr id="82" name="Imagen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912252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39</xdr:row>
      <xdr:rowOff>12692</xdr:rowOff>
    </xdr:from>
    <xdr:to>
      <xdr:col>21</xdr:col>
      <xdr:colOff>349214</xdr:colOff>
      <xdr:row>40</xdr:row>
      <xdr:rowOff>90</xdr:rowOff>
    </xdr:to>
    <xdr:pic macro="[0]!'zzSamples.Manager 40'">
      <xdr:nvPicPr>
        <xdr:cNvPr id="83" name="Imagen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9385292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40</xdr:row>
      <xdr:rowOff>8758</xdr:rowOff>
    </xdr:from>
    <xdr:to>
      <xdr:col>21</xdr:col>
      <xdr:colOff>349214</xdr:colOff>
      <xdr:row>41</xdr:row>
      <xdr:rowOff>642</xdr:rowOff>
    </xdr:to>
    <xdr:pic macro="[0]!'zzSamples.Manager 41'">
      <xdr:nvPicPr>
        <xdr:cNvPr id="84" name="Imagen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960995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41</xdr:row>
      <xdr:rowOff>10267</xdr:rowOff>
    </xdr:from>
    <xdr:to>
      <xdr:col>21</xdr:col>
      <xdr:colOff>349214</xdr:colOff>
      <xdr:row>42</xdr:row>
      <xdr:rowOff>2148</xdr:rowOff>
    </xdr:to>
    <xdr:pic macro="[0]!'zzSamples.Manager 42'">
      <xdr:nvPicPr>
        <xdr:cNvPr id="85" name="Imagen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984006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42</xdr:row>
      <xdr:rowOff>11776</xdr:rowOff>
    </xdr:from>
    <xdr:to>
      <xdr:col>21</xdr:col>
      <xdr:colOff>349214</xdr:colOff>
      <xdr:row>43</xdr:row>
      <xdr:rowOff>3658</xdr:rowOff>
    </xdr:to>
    <xdr:pic macro="[0]!'zzSamples.Manager 43'">
      <xdr:nvPicPr>
        <xdr:cNvPr id="86" name="Imagen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007017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43</xdr:row>
      <xdr:rowOff>13285</xdr:rowOff>
    </xdr:from>
    <xdr:to>
      <xdr:col>21</xdr:col>
      <xdr:colOff>349214</xdr:colOff>
      <xdr:row>44</xdr:row>
      <xdr:rowOff>687</xdr:rowOff>
    </xdr:to>
    <xdr:pic macro="[0]!'zzSamples.Manager 44'">
      <xdr:nvPicPr>
        <xdr:cNvPr id="87" name="Imagen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030028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44</xdr:row>
      <xdr:rowOff>9351</xdr:rowOff>
    </xdr:from>
    <xdr:to>
      <xdr:col>21</xdr:col>
      <xdr:colOff>349214</xdr:colOff>
      <xdr:row>45</xdr:row>
      <xdr:rowOff>1232</xdr:rowOff>
    </xdr:to>
    <xdr:pic macro="[0]!'zzSamples.Manager 45'">
      <xdr:nvPicPr>
        <xdr:cNvPr id="88" name="Imagen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052495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45</xdr:row>
      <xdr:rowOff>5417</xdr:rowOff>
    </xdr:from>
    <xdr:to>
      <xdr:col>21</xdr:col>
      <xdr:colOff>349214</xdr:colOff>
      <xdr:row>45</xdr:row>
      <xdr:rowOff>221417</xdr:rowOff>
    </xdr:to>
    <xdr:pic macro="[0]!'zzSamples.Manager 46'">
      <xdr:nvPicPr>
        <xdr:cNvPr id="89" name="Imagen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0749617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46</xdr:row>
      <xdr:rowOff>6926</xdr:rowOff>
    </xdr:from>
    <xdr:to>
      <xdr:col>21</xdr:col>
      <xdr:colOff>349214</xdr:colOff>
      <xdr:row>46</xdr:row>
      <xdr:rowOff>222926</xdr:rowOff>
    </xdr:to>
    <xdr:pic macro="[0]!'zzSamples.Manager 47'">
      <xdr:nvPicPr>
        <xdr:cNvPr id="90" name="Imagen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097972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47</xdr:row>
      <xdr:rowOff>8435</xdr:rowOff>
    </xdr:from>
    <xdr:to>
      <xdr:col>21</xdr:col>
      <xdr:colOff>349214</xdr:colOff>
      <xdr:row>48</xdr:row>
      <xdr:rowOff>316</xdr:rowOff>
    </xdr:to>
    <xdr:pic macro="[0]!'zzSamples.Manager 48'">
      <xdr:nvPicPr>
        <xdr:cNvPr id="91" name="Imagen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1209835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48</xdr:row>
      <xdr:rowOff>4501</xdr:rowOff>
    </xdr:from>
    <xdr:to>
      <xdr:col>21</xdr:col>
      <xdr:colOff>349214</xdr:colOff>
      <xdr:row>48</xdr:row>
      <xdr:rowOff>220501</xdr:rowOff>
    </xdr:to>
    <xdr:pic macro="[0]!'zzSamples.Manager 49'">
      <xdr:nvPicPr>
        <xdr:cNvPr id="92" name="Imagen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1434501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49</xdr:row>
      <xdr:rowOff>6010</xdr:rowOff>
    </xdr:from>
    <xdr:to>
      <xdr:col>21</xdr:col>
      <xdr:colOff>349214</xdr:colOff>
      <xdr:row>49</xdr:row>
      <xdr:rowOff>222010</xdr:rowOff>
    </xdr:to>
    <xdr:pic macro="[0]!'zzSamples.Manager 50'">
      <xdr:nvPicPr>
        <xdr:cNvPr id="93" name="Imagen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166461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61214</xdr:colOff>
      <xdr:row>50</xdr:row>
      <xdr:rowOff>12958</xdr:rowOff>
    </xdr:from>
    <xdr:to>
      <xdr:col>21</xdr:col>
      <xdr:colOff>349214</xdr:colOff>
      <xdr:row>51</xdr:row>
      <xdr:rowOff>357</xdr:rowOff>
    </xdr:to>
    <xdr:pic macro="[0]!'zzSamples.Manager 51'">
      <xdr:nvPicPr>
        <xdr:cNvPr id="94" name="Imagen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biLevel thresh="50000"/>
        </a:blip>
        <a:srcRect l="17339" t="18261" r="17021" b="16765"/>
        <a:stretch/>
      </xdr:blipFill>
      <xdr:spPr>
        <a:xfrm>
          <a:off x="19829671" y="1190015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54</xdr:row>
      <xdr:rowOff>13392</xdr:rowOff>
    </xdr:from>
    <xdr:to>
      <xdr:col>21</xdr:col>
      <xdr:colOff>332427</xdr:colOff>
      <xdr:row>55</xdr:row>
      <xdr:rowOff>3431</xdr:rowOff>
    </xdr:to>
    <xdr:pic macro="[0]!'zzSamples.weiter 55'">
      <xdr:nvPicPr>
        <xdr:cNvPr id="95" name="Imagen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2749678"/>
          <a:ext cx="288000" cy="215174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55</xdr:row>
      <xdr:rowOff>9520</xdr:rowOff>
    </xdr:from>
    <xdr:to>
      <xdr:col>21</xdr:col>
      <xdr:colOff>332427</xdr:colOff>
      <xdr:row>56</xdr:row>
      <xdr:rowOff>382</xdr:rowOff>
    </xdr:to>
    <xdr:pic macro="[0]!'zzSamples.weiter 56'">
      <xdr:nvPicPr>
        <xdr:cNvPr id="96" name="Imagen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2974406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56</xdr:row>
      <xdr:rowOff>8155</xdr:rowOff>
    </xdr:from>
    <xdr:to>
      <xdr:col>21</xdr:col>
      <xdr:colOff>332427</xdr:colOff>
      <xdr:row>57</xdr:row>
      <xdr:rowOff>38</xdr:rowOff>
    </xdr:to>
    <xdr:pic macro="[0]!'zzSamples.weiter 57'">
      <xdr:nvPicPr>
        <xdr:cNvPr id="97" name="Imagen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1309" y="13373234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57</xdr:row>
      <xdr:rowOff>13092</xdr:rowOff>
    </xdr:from>
    <xdr:to>
      <xdr:col>21</xdr:col>
      <xdr:colOff>332427</xdr:colOff>
      <xdr:row>58</xdr:row>
      <xdr:rowOff>492</xdr:rowOff>
    </xdr:to>
    <xdr:pic macro="[0]!'zzSamples.weiter 58'">
      <xdr:nvPicPr>
        <xdr:cNvPr id="98" name="Imagen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3435178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58</xdr:row>
      <xdr:rowOff>6284</xdr:rowOff>
    </xdr:from>
    <xdr:to>
      <xdr:col>21</xdr:col>
      <xdr:colOff>332427</xdr:colOff>
      <xdr:row>58</xdr:row>
      <xdr:rowOff>222284</xdr:rowOff>
    </xdr:to>
    <xdr:pic macro="[0]!'zzSamples.weiter 59'">
      <xdr:nvPicPr>
        <xdr:cNvPr id="99" name="Imagen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1309" y="13842600"/>
          <a:ext cx="288000" cy="21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59</xdr:row>
      <xdr:rowOff>10362</xdr:rowOff>
    </xdr:from>
    <xdr:to>
      <xdr:col>21</xdr:col>
      <xdr:colOff>332427</xdr:colOff>
      <xdr:row>60</xdr:row>
      <xdr:rowOff>2245</xdr:rowOff>
    </xdr:to>
    <xdr:pic macro="[0]!'zzSamples.weiter 60'">
      <xdr:nvPicPr>
        <xdr:cNvPr id="100" name="Imagen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3889648"/>
          <a:ext cx="288000" cy="220482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60</xdr:row>
      <xdr:rowOff>8997</xdr:rowOff>
    </xdr:from>
    <xdr:to>
      <xdr:col>21</xdr:col>
      <xdr:colOff>332427</xdr:colOff>
      <xdr:row>61</xdr:row>
      <xdr:rowOff>879</xdr:rowOff>
    </xdr:to>
    <xdr:pic macro="[0]!'zzSamples.weiter 61'">
      <xdr:nvPicPr>
        <xdr:cNvPr id="101" name="Imagen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4116883"/>
          <a:ext cx="288000" cy="220483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61</xdr:row>
      <xdr:rowOff>13074</xdr:rowOff>
    </xdr:from>
    <xdr:to>
      <xdr:col>21</xdr:col>
      <xdr:colOff>332427</xdr:colOff>
      <xdr:row>62</xdr:row>
      <xdr:rowOff>1931</xdr:rowOff>
    </xdr:to>
    <xdr:pic macro="[0]!'zzSamples.weiter 62'">
      <xdr:nvPicPr>
        <xdr:cNvPr id="102" name="Imagen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4349560"/>
          <a:ext cx="288000" cy="213994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62</xdr:row>
      <xdr:rowOff>11709</xdr:rowOff>
    </xdr:from>
    <xdr:to>
      <xdr:col>21</xdr:col>
      <xdr:colOff>332427</xdr:colOff>
      <xdr:row>63</xdr:row>
      <xdr:rowOff>569</xdr:rowOff>
    </xdr:to>
    <xdr:pic macro="[0]!'zzSamples.weiter 63'">
      <xdr:nvPicPr>
        <xdr:cNvPr id="103" name="Imagen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4576795"/>
          <a:ext cx="288000" cy="213995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63</xdr:row>
      <xdr:rowOff>10344</xdr:rowOff>
    </xdr:from>
    <xdr:to>
      <xdr:col>21</xdr:col>
      <xdr:colOff>332427</xdr:colOff>
      <xdr:row>64</xdr:row>
      <xdr:rowOff>221</xdr:rowOff>
    </xdr:to>
    <xdr:pic macro="[0]!'zzSamples.weiter 64'">
      <xdr:nvPicPr>
        <xdr:cNvPr id="104" name="Imagen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4804030"/>
          <a:ext cx="288000" cy="213995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64</xdr:row>
      <xdr:rowOff>8979</xdr:rowOff>
    </xdr:from>
    <xdr:to>
      <xdr:col>21</xdr:col>
      <xdr:colOff>332427</xdr:colOff>
      <xdr:row>64</xdr:row>
      <xdr:rowOff>222973</xdr:rowOff>
    </xdr:to>
    <xdr:pic macro="[0]!'zzSamples.weiter 65'">
      <xdr:nvPicPr>
        <xdr:cNvPr id="105" name="Imagen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5031265"/>
          <a:ext cx="288000" cy="213994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65</xdr:row>
      <xdr:rowOff>13056</xdr:rowOff>
    </xdr:from>
    <xdr:to>
      <xdr:col>21</xdr:col>
      <xdr:colOff>332427</xdr:colOff>
      <xdr:row>66</xdr:row>
      <xdr:rowOff>1915</xdr:rowOff>
    </xdr:to>
    <xdr:pic macro="[0]!'zzSamples.weiter 66'">
      <xdr:nvPicPr>
        <xdr:cNvPr id="106" name="Imagen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5263942"/>
          <a:ext cx="288000" cy="213995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66</xdr:row>
      <xdr:rowOff>11691</xdr:rowOff>
    </xdr:from>
    <xdr:to>
      <xdr:col>21</xdr:col>
      <xdr:colOff>332427</xdr:colOff>
      <xdr:row>67</xdr:row>
      <xdr:rowOff>548</xdr:rowOff>
    </xdr:to>
    <xdr:pic macro="[0]!'zzSamples.weiter 67'">
      <xdr:nvPicPr>
        <xdr:cNvPr id="107" name="Imagen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5491177"/>
          <a:ext cx="288000" cy="213995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67</xdr:row>
      <xdr:rowOff>10326</xdr:rowOff>
    </xdr:from>
    <xdr:to>
      <xdr:col>21</xdr:col>
      <xdr:colOff>332427</xdr:colOff>
      <xdr:row>68</xdr:row>
      <xdr:rowOff>204</xdr:rowOff>
    </xdr:to>
    <xdr:pic macro="[0]!'zzSamples.weiter 68'">
      <xdr:nvPicPr>
        <xdr:cNvPr id="108" name="Imagen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5718412"/>
          <a:ext cx="288000" cy="213995"/>
        </a:xfrm>
        <a:prstGeom prst="rect">
          <a:avLst/>
        </a:prstGeom>
      </xdr:spPr>
    </xdr:pic>
    <xdr:clientData/>
  </xdr:twoCellAnchor>
  <xdr:twoCellAnchor editAs="oneCell">
    <xdr:from>
      <xdr:col>21</xdr:col>
      <xdr:colOff>44427</xdr:colOff>
      <xdr:row>68</xdr:row>
      <xdr:rowOff>8961</xdr:rowOff>
    </xdr:from>
    <xdr:to>
      <xdr:col>21</xdr:col>
      <xdr:colOff>332427</xdr:colOff>
      <xdr:row>69</xdr:row>
      <xdr:rowOff>0</xdr:rowOff>
    </xdr:to>
    <xdr:pic macro="[0]!'zzSamples.weiter 69'">
      <xdr:nvPicPr>
        <xdr:cNvPr id="109" name="Imagen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19812884" y="15945647"/>
          <a:ext cx="288000" cy="215174"/>
        </a:xfrm>
        <a:prstGeom prst="rect">
          <a:avLst/>
        </a:prstGeom>
      </xdr:spPr>
    </xdr:pic>
    <xdr:clientData/>
  </xdr:twoCellAnchor>
  <xdr:oneCellAnchor>
    <xdr:from>
      <xdr:col>22</xdr:col>
      <xdr:colOff>17169</xdr:colOff>
      <xdr:row>17</xdr:row>
      <xdr:rowOff>5953</xdr:rowOff>
    </xdr:from>
    <xdr:ext cx="288000" cy="216000"/>
    <xdr:pic macro="[0]!'zzSamples.Process 18'">
      <xdr:nvPicPr>
        <xdr:cNvPr id="115" name="Imagen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4244578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18</xdr:row>
      <xdr:rowOff>14839</xdr:rowOff>
    </xdr:from>
    <xdr:ext cx="288000" cy="216000"/>
    <xdr:pic macro="[0]!'zzSamples.Process 19'">
      <xdr:nvPicPr>
        <xdr:cNvPr id="116" name="Imagen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4479683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19</xdr:row>
      <xdr:rowOff>4247</xdr:rowOff>
    </xdr:from>
    <xdr:ext cx="288000" cy="216000"/>
    <xdr:pic macro="[0]!'zzSamples.Process 20'">
      <xdr:nvPicPr>
        <xdr:cNvPr id="117" name="Imagen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4695310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20</xdr:row>
      <xdr:rowOff>9240</xdr:rowOff>
    </xdr:from>
    <xdr:ext cx="288000" cy="216000"/>
    <xdr:pic macro="[0]!'zzSamples.Process 21'">
      <xdr:nvPicPr>
        <xdr:cNvPr id="118" name="Imagen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4926521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21</xdr:row>
      <xdr:rowOff>13939</xdr:rowOff>
    </xdr:from>
    <xdr:ext cx="288000" cy="216000"/>
    <xdr:pic macro="[0]!'zzSamples.Process 22'">
      <xdr:nvPicPr>
        <xdr:cNvPr id="119" name="Imagen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5157439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22</xdr:row>
      <xdr:rowOff>14550</xdr:rowOff>
    </xdr:from>
    <xdr:ext cx="288000" cy="216000"/>
    <xdr:pic macro="[0]!'zzSamples.Process 23'">
      <xdr:nvPicPr>
        <xdr:cNvPr id="120" name="Imagen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5384269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23</xdr:row>
      <xdr:rowOff>9911</xdr:rowOff>
    </xdr:from>
    <xdr:ext cx="288000" cy="216000"/>
    <xdr:pic macro="[0]!'zzSamples.Process 24'">
      <xdr:nvPicPr>
        <xdr:cNvPr id="121" name="Imagen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5605849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24</xdr:row>
      <xdr:rowOff>8951</xdr:rowOff>
    </xdr:from>
    <xdr:ext cx="288000" cy="216000"/>
    <xdr:pic macro="[0]!'zzSamples.Process 25'">
      <xdr:nvPicPr>
        <xdr:cNvPr id="122" name="Imagen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5831107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25</xdr:row>
      <xdr:rowOff>7659</xdr:rowOff>
    </xdr:from>
    <xdr:ext cx="288000" cy="216000"/>
    <xdr:pic macro="[0]!'zzSamples.Process 26'">
      <xdr:nvPicPr>
        <xdr:cNvPr id="123" name="Imagen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6056034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26</xdr:row>
      <xdr:rowOff>9645</xdr:rowOff>
    </xdr:from>
    <xdr:ext cx="288000" cy="216000"/>
    <xdr:pic macro="[0]!'zzSamples.Process 27'">
      <xdr:nvPicPr>
        <xdr:cNvPr id="124" name="Imagen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6284239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27</xdr:row>
      <xdr:rowOff>12333</xdr:rowOff>
    </xdr:from>
    <xdr:ext cx="288000" cy="216000"/>
    <xdr:pic macro="[0]!'zzSamples.Process 28'">
      <xdr:nvPicPr>
        <xdr:cNvPr id="125" name="Imagen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6513146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28</xdr:row>
      <xdr:rowOff>11373</xdr:rowOff>
    </xdr:from>
    <xdr:ext cx="288000" cy="216000"/>
    <xdr:pic macro="[0]!'zzSamples.Process 29'">
      <xdr:nvPicPr>
        <xdr:cNvPr id="126" name="Imagen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6738404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29</xdr:row>
      <xdr:rowOff>10118</xdr:rowOff>
    </xdr:from>
    <xdr:ext cx="288000" cy="216000"/>
    <xdr:pic macro="[0]!'zzSamples.Process 30'">
      <xdr:nvPicPr>
        <xdr:cNvPr id="127" name="Imagen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6963368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30</xdr:row>
      <xdr:rowOff>9355</xdr:rowOff>
    </xdr:from>
    <xdr:ext cx="288000" cy="216000"/>
    <xdr:pic macro="[0]!'zzSamples.Process 31'">
      <xdr:nvPicPr>
        <xdr:cNvPr id="128" name="Imagen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7188824"/>
          <a:ext cx="288000" cy="216000"/>
        </a:xfrm>
        <a:prstGeom prst="rect">
          <a:avLst/>
        </a:prstGeom>
      </xdr:spPr>
    </xdr:pic>
    <xdr:clientData/>
  </xdr:oneCellAnchor>
  <xdr:oneCellAnchor>
    <xdr:from>
      <xdr:col>22</xdr:col>
      <xdr:colOff>17169</xdr:colOff>
      <xdr:row>31</xdr:row>
      <xdr:rowOff>6090</xdr:rowOff>
    </xdr:from>
    <xdr:ext cx="288000" cy="216000"/>
    <xdr:pic macro="[0]!'zzSamples.Process 32'">
      <xdr:nvPicPr>
        <xdr:cNvPr id="129" name="Imagen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</a:blip>
        <a:srcRect l="17339" t="18261" r="17021" b="16765"/>
        <a:stretch/>
      </xdr:blipFill>
      <xdr:spPr>
        <a:xfrm>
          <a:off x="20793575" y="7411778"/>
          <a:ext cx="288000" cy="21600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88137</xdr:rowOff>
    </xdr:from>
    <xdr:to>
      <xdr:col>0</xdr:col>
      <xdr:colOff>915629</xdr:colOff>
      <xdr:row>1</xdr:row>
      <xdr:rowOff>629572</xdr:rowOff>
    </xdr:to>
    <xdr:pic macro="[0]!ColocarHora">
      <xdr:nvPicPr>
        <xdr:cNvPr id="131" name="Imagen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563" b="92308" l="5417" r="95625">
                      <a14:foregroundMark x1="41458" y1="12474" x2="67500" y2="13721"/>
                      <a14:foregroundMark x1="72292" y1="14969" x2="92500" y2="54470"/>
                      <a14:foregroundMark x1="92500" y1="54470" x2="87500" y2="70478"/>
                      <a14:foregroundMark x1="87500" y1="70478" x2="74792" y2="82952"/>
                      <a14:foregroundMark x1="74792" y1="82952" x2="40417" y2="92308"/>
                      <a14:foregroundMark x1="40417" y1="92308" x2="24375" y2="83368"/>
                      <a14:foregroundMark x1="24375" y1="83368" x2="15208" y2="68815"/>
                      <a14:foregroundMark x1="15208" y1="68815" x2="11875" y2="35135"/>
                      <a14:foregroundMark x1="11875" y1="35135" x2="40625" y2="12474"/>
                      <a14:foregroundMark x1="40625" y1="12474" x2="58542" y2="11642"/>
                      <a14:foregroundMark x1="58542" y1="11642" x2="75000" y2="17464"/>
                      <a14:foregroundMark x1="75000" y1="17464" x2="95833" y2="45530"/>
                      <a14:foregroundMark x1="95833" y1="45530" x2="95625" y2="62994"/>
                      <a14:foregroundMark x1="95625" y1="62994" x2="92917" y2="72141"/>
                      <a14:foregroundMark x1="89375" y1="69231" x2="81042" y2="83992"/>
                      <a14:foregroundMark x1="81042" y1="83992" x2="83958" y2="73389"/>
                      <a14:foregroundMark x1="66875" y1="90437" x2="50417" y2="91060"/>
                      <a14:foregroundMark x1="50417" y1="91060" x2="65000" y2="92308"/>
                      <a14:foregroundMark x1="8958" y1="37422" x2="5417" y2="561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88137"/>
          <a:ext cx="915629" cy="804162"/>
        </a:xfrm>
        <a:prstGeom prst="rect">
          <a:avLst/>
        </a:prstGeom>
      </xdr:spPr>
    </xdr:pic>
    <xdr:clientData/>
  </xdr:twoCellAnchor>
  <xdr:twoCellAnchor editAs="oneCell">
    <xdr:from>
      <xdr:col>23</xdr:col>
      <xdr:colOff>122843</xdr:colOff>
      <xdr:row>0</xdr:row>
      <xdr:rowOff>105776</xdr:rowOff>
    </xdr:from>
    <xdr:to>
      <xdr:col>23</xdr:col>
      <xdr:colOff>1038472</xdr:colOff>
      <xdr:row>1</xdr:row>
      <xdr:rowOff>647211</xdr:rowOff>
    </xdr:to>
    <xdr:pic macro="[0]!ColocarHora">
      <xdr:nvPicPr>
        <xdr:cNvPr id="130" name="Imagen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563" b="92308" l="5417" r="95625">
                      <a14:foregroundMark x1="41458" y1="12474" x2="67500" y2="13721"/>
                      <a14:foregroundMark x1="72292" y1="14969" x2="92500" y2="54470"/>
                      <a14:foregroundMark x1="92500" y1="54470" x2="87500" y2="70478"/>
                      <a14:foregroundMark x1="87500" y1="70478" x2="74792" y2="82952"/>
                      <a14:foregroundMark x1="74792" y1="82952" x2="40417" y2="92308"/>
                      <a14:foregroundMark x1="40417" y1="92308" x2="24375" y2="83368"/>
                      <a14:foregroundMark x1="24375" y1="83368" x2="15208" y2="68815"/>
                      <a14:foregroundMark x1="15208" y1="68815" x2="11875" y2="35135"/>
                      <a14:foregroundMark x1="11875" y1="35135" x2="40625" y2="12474"/>
                      <a14:foregroundMark x1="40625" y1="12474" x2="58542" y2="11642"/>
                      <a14:foregroundMark x1="58542" y1="11642" x2="75000" y2="17464"/>
                      <a14:foregroundMark x1="75000" y1="17464" x2="95833" y2="45530"/>
                      <a14:foregroundMark x1="95833" y1="45530" x2="95625" y2="62994"/>
                      <a14:foregroundMark x1="95625" y1="62994" x2="92917" y2="72141"/>
                      <a14:foregroundMark x1="89375" y1="69231" x2="81042" y2="83992"/>
                      <a14:foregroundMark x1="81042" y1="83992" x2="83958" y2="73389"/>
                      <a14:foregroundMark x1="66875" y1="90437" x2="50417" y2="91060"/>
                      <a14:foregroundMark x1="50417" y1="91060" x2="65000" y2="92308"/>
                      <a14:foregroundMark x1="8958" y1="37422" x2="5417" y2="561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665343" y="105776"/>
          <a:ext cx="915629" cy="804162"/>
        </a:xfrm>
        <a:prstGeom prst="rect">
          <a:avLst/>
        </a:prstGeom>
      </xdr:spPr>
    </xdr:pic>
    <xdr:clientData/>
  </xdr:twoCellAnchor>
  <xdr:twoCellAnchor editAs="oneCell">
    <xdr:from>
      <xdr:col>23</xdr:col>
      <xdr:colOff>122843</xdr:colOff>
      <xdr:row>34</xdr:row>
      <xdr:rowOff>70498</xdr:rowOff>
    </xdr:from>
    <xdr:to>
      <xdr:col>23</xdr:col>
      <xdr:colOff>1038472</xdr:colOff>
      <xdr:row>37</xdr:row>
      <xdr:rowOff>167124</xdr:rowOff>
    </xdr:to>
    <xdr:pic macro="[0]!ColocarHora">
      <xdr:nvPicPr>
        <xdr:cNvPr id="132" name="Imagen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563" b="92308" l="5417" r="95625">
                      <a14:foregroundMark x1="41458" y1="12474" x2="67500" y2="13721"/>
                      <a14:foregroundMark x1="72292" y1="14969" x2="92500" y2="54470"/>
                      <a14:foregroundMark x1="92500" y1="54470" x2="87500" y2="70478"/>
                      <a14:foregroundMark x1="87500" y1="70478" x2="74792" y2="82952"/>
                      <a14:foregroundMark x1="74792" y1="82952" x2="40417" y2="92308"/>
                      <a14:foregroundMark x1="40417" y1="92308" x2="24375" y2="83368"/>
                      <a14:foregroundMark x1="24375" y1="83368" x2="15208" y2="68815"/>
                      <a14:foregroundMark x1="15208" y1="68815" x2="11875" y2="35135"/>
                      <a14:foregroundMark x1="11875" y1="35135" x2="40625" y2="12474"/>
                      <a14:foregroundMark x1="40625" y1="12474" x2="58542" y2="11642"/>
                      <a14:foregroundMark x1="58542" y1="11642" x2="75000" y2="17464"/>
                      <a14:foregroundMark x1="75000" y1="17464" x2="95833" y2="45530"/>
                      <a14:foregroundMark x1="95833" y1="45530" x2="95625" y2="62994"/>
                      <a14:foregroundMark x1="95625" y1="62994" x2="92917" y2="72141"/>
                      <a14:foregroundMark x1="89375" y1="69231" x2="81042" y2="83992"/>
                      <a14:foregroundMark x1="81042" y1="83992" x2="83958" y2="73389"/>
                      <a14:foregroundMark x1="66875" y1="90437" x2="50417" y2="91060"/>
                      <a14:foregroundMark x1="50417" y1="91060" x2="65000" y2="92308"/>
                      <a14:foregroundMark x1="8958" y1="37422" x2="5417" y2="561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665343" y="8343137"/>
          <a:ext cx="915629" cy="804162"/>
        </a:xfrm>
        <a:prstGeom prst="rect">
          <a:avLst/>
        </a:prstGeom>
      </xdr:spPr>
    </xdr:pic>
    <xdr:clientData/>
  </xdr:twoCellAnchor>
  <xdr:twoCellAnchor editAs="oneCell">
    <xdr:from>
      <xdr:col>12</xdr:col>
      <xdr:colOff>141111</xdr:colOff>
      <xdr:row>34</xdr:row>
      <xdr:rowOff>70498</xdr:rowOff>
    </xdr:from>
    <xdr:to>
      <xdr:col>12</xdr:col>
      <xdr:colOff>1056740</xdr:colOff>
      <xdr:row>37</xdr:row>
      <xdr:rowOff>167124</xdr:rowOff>
    </xdr:to>
    <xdr:pic macro="[0]!ColocarHora">
      <xdr:nvPicPr>
        <xdr:cNvPr id="134" name="Imagen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563" b="92308" l="5417" r="95625">
                      <a14:foregroundMark x1="41458" y1="12474" x2="67500" y2="13721"/>
                      <a14:foregroundMark x1="72292" y1="14969" x2="92500" y2="54470"/>
                      <a14:foregroundMark x1="92500" y1="54470" x2="87500" y2="70478"/>
                      <a14:foregroundMark x1="87500" y1="70478" x2="74792" y2="82952"/>
                      <a14:foregroundMark x1="74792" y1="82952" x2="40417" y2="92308"/>
                      <a14:foregroundMark x1="40417" y1="92308" x2="24375" y2="83368"/>
                      <a14:foregroundMark x1="24375" y1="83368" x2="15208" y2="68815"/>
                      <a14:foregroundMark x1="15208" y1="68815" x2="11875" y2="35135"/>
                      <a14:foregroundMark x1="11875" y1="35135" x2="40625" y2="12474"/>
                      <a14:foregroundMark x1="40625" y1="12474" x2="58542" y2="11642"/>
                      <a14:foregroundMark x1="58542" y1="11642" x2="75000" y2="17464"/>
                      <a14:foregroundMark x1="75000" y1="17464" x2="95833" y2="45530"/>
                      <a14:foregroundMark x1="95833" y1="45530" x2="95625" y2="62994"/>
                      <a14:foregroundMark x1="95625" y1="62994" x2="92917" y2="72141"/>
                      <a14:foregroundMark x1="89375" y1="69231" x2="81042" y2="83992"/>
                      <a14:foregroundMark x1="81042" y1="83992" x2="83958" y2="73389"/>
                      <a14:foregroundMark x1="66875" y1="90437" x2="50417" y2="91060"/>
                      <a14:foregroundMark x1="50417" y1="91060" x2="65000" y2="92308"/>
                      <a14:foregroundMark x1="8958" y1="37422" x2="5417" y2="561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283472" y="8343137"/>
          <a:ext cx="915629" cy="8041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70498</xdr:rowOff>
    </xdr:from>
    <xdr:to>
      <xdr:col>0</xdr:col>
      <xdr:colOff>915629</xdr:colOff>
      <xdr:row>37</xdr:row>
      <xdr:rowOff>167124</xdr:rowOff>
    </xdr:to>
    <xdr:pic macro="[0]!ColocarHora">
      <xdr:nvPicPr>
        <xdr:cNvPr id="135" name="Imagen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563" b="92308" l="5417" r="95625">
                      <a14:foregroundMark x1="41458" y1="12474" x2="67500" y2="13721"/>
                      <a14:foregroundMark x1="72292" y1="14969" x2="92500" y2="54470"/>
                      <a14:foregroundMark x1="92500" y1="54470" x2="87500" y2="70478"/>
                      <a14:foregroundMark x1="87500" y1="70478" x2="74792" y2="82952"/>
                      <a14:foregroundMark x1="74792" y1="82952" x2="40417" y2="92308"/>
                      <a14:foregroundMark x1="40417" y1="92308" x2="24375" y2="83368"/>
                      <a14:foregroundMark x1="24375" y1="83368" x2="15208" y2="68815"/>
                      <a14:foregroundMark x1="15208" y1="68815" x2="11875" y2="35135"/>
                      <a14:foregroundMark x1="11875" y1="35135" x2="40625" y2="12474"/>
                      <a14:foregroundMark x1="40625" y1="12474" x2="58542" y2="11642"/>
                      <a14:foregroundMark x1="58542" y1="11642" x2="75000" y2="17464"/>
                      <a14:foregroundMark x1="75000" y1="17464" x2="95833" y2="45530"/>
                      <a14:foregroundMark x1="95833" y1="45530" x2="95625" y2="62994"/>
                      <a14:foregroundMark x1="95625" y1="62994" x2="92917" y2="72141"/>
                      <a14:foregroundMark x1="89375" y1="69231" x2="81042" y2="83992"/>
                      <a14:foregroundMark x1="81042" y1="83992" x2="83958" y2="73389"/>
                      <a14:foregroundMark x1="66875" y1="90437" x2="50417" y2="91060"/>
                      <a14:foregroundMark x1="50417" y1="91060" x2="65000" y2="92308"/>
                      <a14:foregroundMark x1="8958" y1="37422" x2="5417" y2="561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8343137"/>
          <a:ext cx="915629" cy="804162"/>
        </a:xfrm>
        <a:prstGeom prst="rect">
          <a:avLst/>
        </a:prstGeom>
      </xdr:spPr>
    </xdr:pic>
    <xdr:clientData/>
  </xdr:twoCellAnchor>
  <xdr:twoCellAnchor>
    <xdr:from>
      <xdr:col>11</xdr:col>
      <xdr:colOff>7826</xdr:colOff>
      <xdr:row>0</xdr:row>
      <xdr:rowOff>1</xdr:rowOff>
    </xdr:from>
    <xdr:to>
      <xdr:col>11</xdr:col>
      <xdr:colOff>284082</xdr:colOff>
      <xdr:row>1</xdr:row>
      <xdr:rowOff>852236</xdr:rowOff>
    </xdr:to>
    <xdr:sp macro="[0]!AllTables" textlink="">
      <xdr:nvSpPr>
        <xdr:cNvPr id="61" name="Rectángulo 60">
          <a:extLst>
            <a:ext uri="{FF2B5EF4-FFF2-40B4-BE49-F238E27FC236}">
              <a16:creationId xmlns:a16="http://schemas.microsoft.com/office/drawing/2014/main" id="{1EFE2C4E-5F0B-4F47-80DB-7B75EDB69310}"/>
            </a:ext>
          </a:extLst>
        </xdr:cNvPr>
        <xdr:cNvSpPr/>
      </xdr:nvSpPr>
      <xdr:spPr>
        <a:xfrm rot="16200000">
          <a:off x="8559705" y="404964"/>
          <a:ext cx="1086182" cy="276256"/>
        </a:xfrm>
        <a:prstGeom prst="rect">
          <a:avLst/>
        </a:prstGeom>
        <a:solidFill>
          <a:schemeClr val="bg1">
            <a:alpha val="0"/>
          </a:schemeClr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22</xdr:col>
      <xdr:colOff>8283</xdr:colOff>
      <xdr:row>0</xdr:row>
      <xdr:rowOff>1</xdr:rowOff>
    </xdr:from>
    <xdr:to>
      <xdr:col>23</xdr:col>
      <xdr:colOff>3</xdr:colOff>
      <xdr:row>1</xdr:row>
      <xdr:rowOff>852236</xdr:rowOff>
    </xdr:to>
    <xdr:sp macro="[0]!AllProcess" textlink="">
      <xdr:nvSpPr>
        <xdr:cNvPr id="62" name="Rectángulo 61">
          <a:extLst>
            <a:ext uri="{FF2B5EF4-FFF2-40B4-BE49-F238E27FC236}">
              <a16:creationId xmlns:a16="http://schemas.microsoft.com/office/drawing/2014/main" id="{97BE6E08-438A-48EB-ABF2-6781FA83CF04}"/>
            </a:ext>
          </a:extLst>
        </xdr:cNvPr>
        <xdr:cNvSpPr/>
      </xdr:nvSpPr>
      <xdr:spPr>
        <a:xfrm rot="16200000">
          <a:off x="20407697" y="388482"/>
          <a:ext cx="1086182" cy="309220"/>
        </a:xfrm>
        <a:prstGeom prst="rect">
          <a:avLst/>
        </a:prstGeom>
        <a:solidFill>
          <a:schemeClr val="bg1">
            <a:alpha val="0"/>
          </a:schemeClr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</xdr:col>
      <xdr:colOff>50130</xdr:colOff>
      <xdr:row>0</xdr:row>
      <xdr:rowOff>133684</xdr:rowOff>
    </xdr:from>
    <xdr:to>
      <xdr:col>16</xdr:col>
      <xdr:colOff>33420</xdr:colOff>
      <xdr:row>1</xdr:row>
      <xdr:rowOff>785395</xdr:rowOff>
    </xdr:to>
    <xdr:sp macro="" textlink="">
      <xdr:nvSpPr>
        <xdr:cNvPr id="57" name="BannerAlerta" hidden="1">
          <a:extLst>
            <a:ext uri="{FF2B5EF4-FFF2-40B4-BE49-F238E27FC236}">
              <a16:creationId xmlns:a16="http://schemas.microsoft.com/office/drawing/2014/main" id="{3189743C-690E-47EC-9502-21598EF4713B}"/>
            </a:ext>
          </a:extLst>
        </xdr:cNvPr>
        <xdr:cNvSpPr/>
      </xdr:nvSpPr>
      <xdr:spPr>
        <a:xfrm>
          <a:off x="9324472" y="133684"/>
          <a:ext cx="4361448" cy="885658"/>
        </a:xfrm>
        <a:prstGeom prst="round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/>
            <a:t>⚠️Alta afluencia detectada⚠️</a:t>
          </a:r>
        </a:p>
        <a:p>
          <a:pPr algn="ctr"/>
          <a:r>
            <a:rPr lang="es-MX" sz="2000" b="1"/>
            <a:t>⚠️¡NOTIFICAR</a:t>
          </a:r>
          <a:r>
            <a:rPr lang="es-MX" sz="2000" b="1" baseline="0"/>
            <a:t> AL SUPERVISOR!⚠️</a:t>
          </a:r>
          <a:endParaRPr lang="es-MX" sz="2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33618</xdr:colOff>
      <xdr:row>9</xdr:row>
      <xdr:rowOff>123265</xdr:rowOff>
    </xdr:from>
    <xdr:to>
      <xdr:col>15</xdr:col>
      <xdr:colOff>129031</xdr:colOff>
      <xdr:row>22</xdr:row>
      <xdr:rowOff>179296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CEB38A9-0B5D-5A4D-F0E7-2BA2D313B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265" y="2431677"/>
          <a:ext cx="4712237" cy="42022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ina/Documents/amazonas/formato/FORMATO%203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en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RotacionesEvaluadas13" displayName="RotacionesEvaluadas13" ref="B2:K57" totalsRowShown="0" headerRowDxfId="81" dataDxfId="79" headerRowBorderDxfId="80" tableBorderDxfId="78" totalsRowBorderDxfId="77">
  <autoFilter ref="B2:K5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Mesa" dataDxfId="76"/>
    <tableColumn id="2" xr3:uid="{00000000-0010-0000-0000-000002000000}" name="Ocupada" dataDxfId="75"/>
    <tableColumn id="3" xr3:uid="{00000000-0010-0000-0000-000003000000}" name="Ubicado_Host" dataDxfId="74"/>
    <tableColumn id="4" xr3:uid="{00000000-0010-0000-0000-000004000000}" name="Primera Atención" dataDxfId="73"/>
    <tableColumn id="5" xr3:uid="{00000000-0010-0000-0000-000005000000}" name="Espera" dataDxfId="72">
      <calculatedColumnFormula>TiempoTotal(RotacionesEvaluadas13[[#This Row],[Ocupada]],IF(RotacionesEvaluadas13[[#This Row],[Primera Atención]],RotacionesEvaluadas13[[#This Row],[Primera Atención]],HORA))</calculatedColumnFormula>
    </tableColumn>
    <tableColumn id="6" xr3:uid="{00000000-0010-0000-0000-000006000000}" name="Desocupa" dataDxfId="71"/>
    <tableColumn id="7" xr3:uid="{00000000-0010-0000-0000-000007000000}" name="Despedido_Host" dataDxfId="70"/>
    <tableColumn id="8" xr3:uid="{00000000-0010-0000-0000-000008000000}" name="Limpieza" dataDxfId="69"/>
    <tableColumn id="10" xr3:uid="{00000000-0010-0000-0000-00000A000000}" name="Demora" dataDxfId="68">
      <calculatedColumnFormula>TiempoTotal(RotacionesEvaluadas13[[#This Row],[Desocupa]],IF(RotacionesEvaluadas13[[#This Row],[Limpieza]],RotacionesEvaluadas13[[#This Row],[Limpieza]],HORA))</calculatedColumnFormula>
    </tableColumn>
    <tableColumn id="9" xr3:uid="{00000000-0010-0000-0000-000009000000}" name="Operador" dataDxfId="67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ProcesosEvaluados14" displayName="ProcesosEvaluados14" ref="N2:V32" totalsRowShown="0" headerRowDxfId="66" dataDxfId="64" headerRowBorderDxfId="65" tableBorderDxfId="63" totalsRowBorderDxfId="62">
  <autoFilter ref="N2:V32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100-000001000000}" name="Mesa" dataDxfId="61"/>
    <tableColumn id="2" xr3:uid="{00000000-0010-0000-0100-000002000000}" name="Tipo De Plato" dataDxfId="60"/>
    <tableColumn id="3" xr3:uid="{00000000-0010-0000-0100-000003000000}" name="Toma De Orden" dataDxfId="59"/>
    <tableColumn id="4" xr3:uid="{00000000-0010-0000-0100-000004000000}" name="ListoTablet" dataDxfId="58"/>
    <tableColumn id="5" xr3:uid="{00000000-0010-0000-0100-000005000000}" name="ListoCocina" dataDxfId="57"/>
    <tableColumn id="6" xr3:uid="{00000000-0010-0000-0100-000006000000}" name="EntregaPlato" dataDxfId="56"/>
    <tableColumn id="7" xr3:uid="{00000000-0010-0000-0100-000007000000}" name="Preparacion" dataDxfId="55">
      <calculatedColumnFormula>TiempoTotal(ProcesosEvaluados14[[#This Row],[Toma De Orden]],IF(ProcesosEvaluados14[[#This Row],[ListoTablet]], ProcesosEvaluados14[[#This Row],[ListoTablet]],HORA))</calculatedColumnFormula>
    </tableColumn>
    <tableColumn id="8" xr3:uid="{00000000-0010-0000-0100-000008000000}" name="TiempoEntrega" dataDxfId="54">
      <calculatedColumnFormula>TiempoTotal(ProcesosEvaluados14[[#This Row],[ListoCocina]],IF(ProcesosEvaluados14[[#This Row],[EntregaPlato]],ProcesosEvaluados14[[#This Row],[EntregaPlato]],HORA))</calculatedColumnFormula>
    </tableColumn>
    <tableColumn id="9" xr3:uid="{00000000-0010-0000-0100-000009000000}" name="Tiempo Total " dataDxfId="53">
      <calculatedColumnFormula>TiempoTotal(ProcesosEvaluados14[[#This Row],[Toma De Orden]],IF(ProcesosEvaluados14[[#This Row],[EntregaPlato]],ProcesosEvaluados14[[#This Row],[EntregaPlato]],HORA))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ToquesGerentes15" displayName="ToquesGerentes15" ref="P36:U51" totalsRowShown="0" headerRowDxfId="52" dataDxfId="50" headerRowBorderDxfId="51" tableBorderDxfId="49" totalsRowBorderDxfId="48">
  <autoFilter ref="P36:U5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Mesa" dataDxfId="47"/>
    <tableColumn id="6" xr3:uid="{00000000-0010-0000-0200-000006000000}" name="Toque" dataDxfId="46"/>
    <tableColumn id="2" xr3:uid="{00000000-0010-0000-0200-000002000000}" name="Gerente" dataDxfId="45"/>
    <tableColumn id="3" xr3:uid="{00000000-0010-0000-0200-000003000000}" name="Inicio" dataDxfId="44"/>
    <tableColumn id="4" xr3:uid="{00000000-0010-0000-0200-000004000000}" name="Finalizo" dataDxfId="43"/>
    <tableColumn id="5" xr3:uid="{00000000-0010-0000-0200-000005000000}" name="Duración" dataDxfId="42">
      <calculatedColumnFormula>TiempoTotal(ToquesGerentes15[[#This Row],[Inicio]],ToquesGerentes15[[#This Row],[Finalizo]])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3000000}" name="ToquesMeseros19" displayName="ToquesMeseros19" ref="R54:U69" totalsRowShown="0" headerRowDxfId="41" dataDxfId="39" headerRowBorderDxfId="40" tableBorderDxfId="38" totalsRowBorderDxfId="37">
  <autoFilter ref="R54:U69" xr:uid="{00000000-0009-0000-0100-00001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Columna1" dataDxfId="36"/>
    <tableColumn id="2" xr3:uid="{00000000-0010-0000-0300-000002000000}" name="Inicio" dataDxfId="35"/>
    <tableColumn id="3" xr3:uid="{00000000-0010-0000-0300-000003000000}" name="Finalizo" dataDxfId="34"/>
    <tableColumn id="4" xr3:uid="{00000000-0010-0000-0300-000004000000}" name="Duracion" dataDxfId="33">
      <calculatedColumnFormula>TiempoTotal(ToquesMeseros19[[#This Row],[Inicio]],ToquesMeseros19[[#This Row],[Finalizo]])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tAtenClient" displayName="DtAtenClient" ref="B1:AB2" totalsRowShown="0" headerRowDxfId="32" dataDxfId="31" tableBorderDxfId="30">
  <autoFilter ref="B1:AB2" xr:uid="{00000000-0009-0000-0100-000005000000}"/>
  <tableColumns count="27">
    <tableColumn id="1" xr3:uid="{00000000-0010-0000-0400-000001000000}" name="Mesa" dataDxfId="29"/>
    <tableColumn id="2" xr3:uid="{00000000-0010-0000-0400-000002000000}" name="Ocupada" dataDxfId="28"/>
    <tableColumn id="3" xr3:uid="{00000000-0010-0000-0400-000003000000}" name="Protocolo" dataDxfId="27"/>
    <tableColumn id="4" xr3:uid="{00000000-0010-0000-0400-000004000000}" name="Atencion" dataDxfId="26"/>
    <tableColumn id="5" xr3:uid="{00000000-0010-0000-0400-000005000000}" name="Espera" dataDxfId="25">
      <calculatedColumnFormula>TiempoTotal(DtAtenClient[[#This Row],[Ocupada]],DtAtenClient[[#This Row],[Atencion]])</calculatedColumnFormula>
    </tableColumn>
    <tableColumn id="6" xr3:uid="{00000000-0010-0000-0400-000006000000}" name="Desocupa" dataDxfId="24"/>
    <tableColumn id="7" xr3:uid="{00000000-0010-0000-0400-000007000000}" name="Despedida" dataDxfId="23"/>
    <tableColumn id="8" xr3:uid="{00000000-0010-0000-0400-000008000000}" name="Limpieza" dataDxfId="22"/>
    <tableColumn id="9" xr3:uid="{00000000-0010-0000-0400-000009000000}" name="Demora" dataDxfId="21">
      <calculatedColumnFormula>TiempoTotal(DtAtenClient[[#This Row],[Desocupa]],DtAtenClient[[#This Row],[Limpieza]])</calculatedColumnFormula>
    </tableColumn>
    <tableColumn id="10" xr3:uid="{00000000-0010-0000-0400-00000A000000}" name="Operador" dataDxfId="20"/>
    <tableColumn id="12" xr3:uid="{00000000-0010-0000-0400-00000C000000}" name="Proceso" dataDxfId="19"/>
    <tableColumn id="13" xr3:uid="{00000000-0010-0000-0400-00000D000000}" name="Orden" dataDxfId="18"/>
    <tableColumn id="14" xr3:uid="{00000000-0010-0000-0400-00000E000000}" name="Tablet" dataDxfId="17"/>
    <tableColumn id="15" xr3:uid="{00000000-0010-0000-0400-00000F000000}" name="Cocina" dataDxfId="16"/>
    <tableColumn id="16" xr3:uid="{00000000-0010-0000-0400-000010000000}" name="Entrega" dataDxfId="15"/>
    <tableColumn id="17" xr3:uid="{00000000-0010-0000-0400-000011000000}" name="Preparacion" dataDxfId="14">
      <calculatedColumnFormula>TiempoTotal(DtAtenClient[[#This Row],[Orden]],DtAtenClient[[#This Row],[Tablet]])</calculatedColumnFormula>
    </tableColumn>
    <tableColumn id="19" xr3:uid="{00000000-0010-0000-0400-000013000000}" name="TiempoEntrega" dataDxfId="13">
      <calculatedColumnFormula>TiempoTotal(DtAtenClient[[#This Row],[Cocina]],DtAtenClient[[#This Row],[Entrega]])</calculatedColumnFormula>
    </tableColumn>
    <tableColumn id="18" xr3:uid="{00000000-0010-0000-0400-000012000000}" name="DemoraTotal" dataDxfId="12">
      <calculatedColumnFormula>TiempoTotal(DtAtenClient[[#This Row],[Orden]],DtAtenClient[[#This Row],[Entrega]])</calculatedColumnFormula>
    </tableColumn>
    <tableColumn id="28" xr3:uid="{00000000-0010-0000-0400-00001C000000}" name="Toque" dataDxfId="11"/>
    <tableColumn id="20" xr3:uid="{00000000-0010-0000-0400-000014000000}" name="Gerente" dataDxfId="10"/>
    <tableColumn id="21" xr3:uid="{00000000-0010-0000-0400-000015000000}" name="InicioTG" dataDxfId="9"/>
    <tableColumn id="22" xr3:uid="{00000000-0010-0000-0400-000016000000}" name="FinalizoTG" dataDxfId="8"/>
    <tableColumn id="23" xr3:uid="{00000000-0010-0000-0400-000017000000}" name="Duracion TG" dataDxfId="7">
      <calculatedColumnFormula>TiempoTotal(DtAtenClient[[#This Row],[InicioTG]],DtAtenClient[[#This Row],[FinalizoTG]])</calculatedColumnFormula>
    </tableColumn>
    <tableColumn id="25" xr3:uid="{00000000-0010-0000-0400-000019000000}" name="InicioTM" dataDxfId="6"/>
    <tableColumn id="26" xr3:uid="{00000000-0010-0000-0400-00001A000000}" name="FinalizoTM" dataDxfId="5"/>
    <tableColumn id="27" xr3:uid="{00000000-0010-0000-0400-00001B000000}" name="Duracion TM" dataDxfId="4">
      <calculatedColumnFormula>TiempoTotal(DtAtenClient[[#This Row],[InicioTM]],DtAtenClient[[#This Row],[FinalizoTM]])</calculatedColumnFormula>
    </tableColumn>
    <tableColumn id="11" xr3:uid="{00000000-0010-0000-0400-00000B000000}" name="Zona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X69"/>
  <sheetViews>
    <sheetView showGridLines="0" tabSelected="1" zoomScale="57" zoomScaleNormal="57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2" sqref="I12"/>
    </sheetView>
  </sheetViews>
  <sheetFormatPr baseColWidth="10" defaultColWidth="0" defaultRowHeight="18" zeroHeight="1"/>
  <cols>
    <col min="1" max="1" width="14.42578125" style="15" customWidth="1"/>
    <col min="2" max="2" width="9.140625" style="23" customWidth="1"/>
    <col min="3" max="3" width="15.5703125" style="23" customWidth="1"/>
    <col min="4" max="4" width="6.28515625" style="23" hidden="1" customWidth="1"/>
    <col min="5" max="5" width="14.7109375" style="23" customWidth="1"/>
    <col min="6" max="6" width="17" style="23" customWidth="1"/>
    <col min="7" max="7" width="15.42578125" style="23" customWidth="1"/>
    <col min="8" max="8" width="8.7109375" style="23" hidden="1" customWidth="1"/>
    <col min="9" max="9" width="14.85546875" style="23" customWidth="1"/>
    <col min="10" max="10" width="14.28515625" style="23" customWidth="1"/>
    <col min="11" max="11" width="18.85546875" style="23" customWidth="1"/>
    <col min="12" max="12" width="4.85546875" style="23" customWidth="1"/>
    <col min="13" max="13" width="16.140625" style="23" customWidth="1"/>
    <col min="14" max="14" width="11.5703125" style="23" customWidth="1"/>
    <col min="15" max="15" width="20.5703125" style="23" customWidth="1"/>
    <col min="16" max="16" width="17.42578125" style="23" customWidth="1"/>
    <col min="17" max="17" width="16.7109375" style="23" customWidth="1"/>
    <col min="18" max="18" width="17.140625" style="23" customWidth="1"/>
    <col min="19" max="19" width="16.42578125" style="23" customWidth="1"/>
    <col min="20" max="20" width="20.85546875" style="23" customWidth="1"/>
    <col min="21" max="21" width="20.28515625" style="23" customWidth="1"/>
    <col min="22" max="22" width="15.42578125" style="23" customWidth="1"/>
    <col min="23" max="23" width="4.7109375" style="23" customWidth="1"/>
    <col min="24" max="24" width="20.28515625" style="15" bestFit="1" customWidth="1"/>
    <col min="25" max="16384" width="11.42578125" style="15" hidden="1"/>
  </cols>
  <sheetData>
    <row r="1" spans="1:23" ht="18.75" customHeight="1" thickBot="1">
      <c r="B1" s="165" t="s">
        <v>0</v>
      </c>
      <c r="C1" s="166"/>
      <c r="D1" s="166"/>
      <c r="E1" s="166"/>
      <c r="F1" s="166"/>
      <c r="G1" s="166"/>
      <c r="H1" s="166"/>
      <c r="I1" s="166"/>
      <c r="J1" s="166"/>
      <c r="K1" s="167"/>
      <c r="L1" s="168" t="s">
        <v>19</v>
      </c>
      <c r="M1" s="42"/>
      <c r="N1" s="173" t="s">
        <v>6</v>
      </c>
      <c r="O1" s="174"/>
      <c r="P1" s="174"/>
      <c r="Q1" s="174"/>
      <c r="R1" s="174"/>
      <c r="S1" s="174"/>
      <c r="T1" s="174"/>
      <c r="U1" s="174"/>
      <c r="V1" s="175"/>
      <c r="W1" s="170" t="s">
        <v>19</v>
      </c>
    </row>
    <row r="2" spans="1:23" ht="70.5" customHeight="1" thickBot="1">
      <c r="A2" s="19"/>
      <c r="B2" s="24" t="s">
        <v>2</v>
      </c>
      <c r="C2" s="25" t="s">
        <v>3</v>
      </c>
      <c r="D2" s="25" t="s">
        <v>30</v>
      </c>
      <c r="E2" s="91" t="s">
        <v>80</v>
      </c>
      <c r="F2" s="25" t="s">
        <v>34</v>
      </c>
      <c r="G2" s="25" t="s">
        <v>4</v>
      </c>
      <c r="H2" s="25" t="s">
        <v>31</v>
      </c>
      <c r="I2" s="25" t="s">
        <v>5</v>
      </c>
      <c r="J2" s="25" t="s">
        <v>35</v>
      </c>
      <c r="K2" s="26" t="s">
        <v>1</v>
      </c>
      <c r="L2" s="169"/>
      <c r="N2" s="157" t="s">
        <v>2</v>
      </c>
      <c r="O2" s="157" t="s">
        <v>82</v>
      </c>
      <c r="P2" s="158" t="s">
        <v>81</v>
      </c>
      <c r="Q2" s="158" t="s">
        <v>56</v>
      </c>
      <c r="R2" s="158" t="s">
        <v>57</v>
      </c>
      <c r="S2" s="158" t="s">
        <v>32</v>
      </c>
      <c r="T2" s="157" t="s">
        <v>42</v>
      </c>
      <c r="U2" s="158" t="s">
        <v>46</v>
      </c>
      <c r="V2" s="158" t="s">
        <v>58</v>
      </c>
      <c r="W2" s="169"/>
    </row>
    <row r="3" spans="1:23" ht="18" customHeight="1">
      <c r="A3" s="20"/>
      <c r="B3" s="30"/>
      <c r="C3" s="27"/>
      <c r="D3" s="28"/>
      <c r="E3" s="27"/>
      <c r="F3" s="29" t="str">
        <f>TiempoTotal(RotacionesEvaluadas13[[#This Row],[Ocupada]],IF(RotacionesEvaluadas13[[#This Row],[Primera Atención]],RotacionesEvaluadas13[[#This Row],[Primera Atención]],HORA))</f>
        <v/>
      </c>
      <c r="G3" s="27"/>
      <c r="H3" s="28"/>
      <c r="I3" s="27"/>
      <c r="J3" s="29" t="str">
        <f>TiempoTotal(RotacionesEvaluadas13[[#This Row],[Desocupa]],IF(RotacionesEvaluadas13[[#This Row],[Limpieza]],RotacionesEvaluadas13[[#This Row],[Limpieza]],HORA))</f>
        <v/>
      </c>
      <c r="K3" s="30"/>
      <c r="L3" s="31"/>
      <c r="M3" s="42"/>
      <c r="N3" s="32"/>
      <c r="O3" s="33"/>
      <c r="P3" s="27"/>
      <c r="Q3" s="27"/>
      <c r="R3" s="27"/>
      <c r="S3" s="27"/>
      <c r="T3" s="85" t="str">
        <f>TiempoTotal(ProcesosEvaluados14[[#This Row],[Toma De Orden]],IF(ProcesosEvaluados14[[#This Row],[ListoTablet]], ProcesosEvaluados14[[#This Row],[ListoTablet]],HORA))</f>
        <v/>
      </c>
      <c r="U3" s="34" t="str">
        <f>TiempoTotal(ProcesosEvaluados14[[#This Row],[ListoCocina]],IF(ProcesosEvaluados14[[#This Row],[EntregaPlato]],ProcesosEvaluados14[[#This Row],[EntregaPlato]],HORA))</f>
        <v/>
      </c>
      <c r="V3" s="86" t="str">
        <f>TiempoTotal(ProcesosEvaluados14[[#This Row],[Toma De Orden]],IF(ProcesosEvaluados14[[#This Row],[EntregaPlato]],ProcesosEvaluados14[[#This Row],[EntregaPlato]],HORA))</f>
        <v/>
      </c>
      <c r="W3" s="35"/>
    </row>
    <row r="4" spans="1:23" ht="18" customHeight="1">
      <c r="C4" s="27"/>
      <c r="D4" s="28"/>
      <c r="E4" s="99"/>
      <c r="F4" s="29" t="str">
        <f>TiempoTotal(RotacionesEvaluadas13[[#This Row],[Ocupada]],IF(RotacionesEvaluadas13[[#This Row],[Primera Atención]],RotacionesEvaluadas13[[#This Row],[Primera Atención]],HORA))</f>
        <v/>
      </c>
      <c r="G4" s="27"/>
      <c r="H4" s="28"/>
      <c r="I4" s="27"/>
      <c r="J4" s="29" t="str">
        <f>TiempoTotal(RotacionesEvaluadas13[[#This Row],[Desocupa]],IF(RotacionesEvaluadas13[[#This Row],[Limpieza]],RotacionesEvaluadas13[[#This Row],[Limpieza]],HORA))</f>
        <v/>
      </c>
      <c r="K4" s="30"/>
      <c r="L4" s="36"/>
      <c r="N4" s="32"/>
      <c r="O4" s="33"/>
      <c r="P4" s="27"/>
      <c r="Q4" s="27"/>
      <c r="R4" s="27"/>
      <c r="S4" s="27"/>
      <c r="T4" s="85" t="str">
        <f>TiempoTotal(ProcesosEvaluados14[[#This Row],[Toma De Orden]],IF(ProcesosEvaluados14[[#This Row],[ListoTablet]], ProcesosEvaluados14[[#This Row],[ListoTablet]],HORA))</f>
        <v/>
      </c>
      <c r="U4" s="34" t="str">
        <f>TiempoTotal(ProcesosEvaluados14[[#This Row],[ListoCocina]],IF(ProcesosEvaluados14[[#This Row],[EntregaPlato]],ProcesosEvaluados14[[#This Row],[EntregaPlato]],HORA))</f>
        <v/>
      </c>
      <c r="V4" s="86" t="str">
        <f>TiempoTotal(ProcesosEvaluados14[[#This Row],[Toma De Orden]],IF(ProcesosEvaluados14[[#This Row],[EntregaPlato]],ProcesosEvaluados14[[#This Row],[EntregaPlato]],HORA))</f>
        <v/>
      </c>
      <c r="W4" s="37"/>
    </row>
    <row r="5" spans="1:23" ht="18" customHeight="1">
      <c r="A5" s="21"/>
      <c r="B5" s="30"/>
      <c r="C5" s="27"/>
      <c r="D5" s="28"/>
      <c r="E5" s="27"/>
      <c r="F5" s="29" t="str">
        <f>TiempoTotal(RotacionesEvaluadas13[[#This Row],[Ocupada]],IF(RotacionesEvaluadas13[[#This Row],[Primera Atención]],RotacionesEvaluadas13[[#This Row],[Primera Atención]],HORA))</f>
        <v/>
      </c>
      <c r="G5" s="27"/>
      <c r="H5" s="28"/>
      <c r="I5" s="27"/>
      <c r="J5" s="29" t="str">
        <f>TiempoTotal(RotacionesEvaluadas13[[#This Row],[Desocupa]],IF(RotacionesEvaluadas13[[#This Row],[Limpieza]],RotacionesEvaluadas13[[#This Row],[Limpieza]],HORA))</f>
        <v/>
      </c>
      <c r="K5" s="30"/>
      <c r="L5" s="38"/>
      <c r="N5" s="32"/>
      <c r="O5" s="33"/>
      <c r="P5" s="27"/>
      <c r="Q5" s="27"/>
      <c r="R5" s="27"/>
      <c r="S5" s="27"/>
      <c r="T5" s="85" t="str">
        <f>TiempoTotal(ProcesosEvaluados14[[#This Row],[Toma De Orden]],IF(ProcesosEvaluados14[[#This Row],[ListoTablet]], ProcesosEvaluados14[[#This Row],[ListoTablet]],HORA))</f>
        <v/>
      </c>
      <c r="U5" s="34" t="str">
        <f>TiempoTotal(ProcesosEvaluados14[[#This Row],[ListoCocina]],IF(ProcesosEvaluados14[[#This Row],[EntregaPlato]],ProcesosEvaluados14[[#This Row],[EntregaPlato]],HORA))</f>
        <v/>
      </c>
      <c r="V5" s="86" t="str">
        <f>TiempoTotal(ProcesosEvaluados14[[#This Row],[Toma De Orden]],IF(ProcesosEvaluados14[[#This Row],[EntregaPlato]],ProcesosEvaluados14[[#This Row],[EntregaPlato]],HORA))</f>
        <v/>
      </c>
      <c r="W5" s="39"/>
    </row>
    <row r="6" spans="1:23" ht="18" customHeight="1">
      <c r="B6" s="30"/>
      <c r="C6" s="27"/>
      <c r="D6" s="28"/>
      <c r="E6" s="27"/>
      <c r="F6" s="29" t="str">
        <f>TiempoTotal(RotacionesEvaluadas13[[#This Row],[Ocupada]],IF(RotacionesEvaluadas13[[#This Row],[Primera Atención]],RotacionesEvaluadas13[[#This Row],[Primera Atención]],HORA))</f>
        <v/>
      </c>
      <c r="G6" s="27"/>
      <c r="H6" s="28"/>
      <c r="I6" s="27"/>
      <c r="J6" s="29" t="str">
        <f>TiempoTotal(RotacionesEvaluadas13[[#This Row],[Desocupa]],IF(RotacionesEvaluadas13[[#This Row],[Limpieza]],RotacionesEvaluadas13[[#This Row],[Limpieza]],HORA))</f>
        <v/>
      </c>
      <c r="K6" s="30"/>
      <c r="L6" s="36"/>
      <c r="M6" s="42"/>
      <c r="N6" s="32"/>
      <c r="O6" s="33"/>
      <c r="P6" s="27"/>
      <c r="Q6" s="27"/>
      <c r="R6" s="27"/>
      <c r="S6" s="27"/>
      <c r="T6" s="85" t="str">
        <f>TiempoTotal(ProcesosEvaluados14[[#This Row],[Toma De Orden]],IF(ProcesosEvaluados14[[#This Row],[ListoTablet]], ProcesosEvaluados14[[#This Row],[ListoTablet]],HORA))</f>
        <v/>
      </c>
      <c r="U6" s="34" t="str">
        <f>TiempoTotal(ProcesosEvaluados14[[#This Row],[ListoCocina]],IF(ProcesosEvaluados14[[#This Row],[EntregaPlato]],ProcesosEvaluados14[[#This Row],[EntregaPlato]],HORA))</f>
        <v/>
      </c>
      <c r="V6" s="86" t="str">
        <f>TiempoTotal(ProcesosEvaluados14[[#This Row],[Toma De Orden]],IF(ProcesosEvaluados14[[#This Row],[EntregaPlato]],ProcesosEvaluados14[[#This Row],[EntregaPlato]],HORA))</f>
        <v/>
      </c>
      <c r="W6" s="37"/>
    </row>
    <row r="7" spans="1:23" ht="18" customHeight="1">
      <c r="A7" s="19"/>
      <c r="B7" s="30"/>
      <c r="C7" s="27"/>
      <c r="D7" s="28"/>
      <c r="E7" s="55"/>
      <c r="F7" s="29" t="str">
        <f>TiempoTotal(RotacionesEvaluadas13[[#This Row],[Ocupada]],IF(RotacionesEvaluadas13[[#This Row],[Primera Atención]],RotacionesEvaluadas13[[#This Row],[Primera Atención]],HORA))</f>
        <v/>
      </c>
      <c r="G7" s="27"/>
      <c r="H7" s="28"/>
      <c r="I7" s="27"/>
      <c r="J7" s="29" t="str">
        <f>TiempoTotal(RotacionesEvaluadas13[[#This Row],[Desocupa]],IF(RotacionesEvaluadas13[[#This Row],[Limpieza]],RotacionesEvaluadas13[[#This Row],[Limpieza]],HORA))</f>
        <v/>
      </c>
      <c r="K7" s="30"/>
      <c r="L7" s="38"/>
      <c r="N7" s="32"/>
      <c r="O7" s="33"/>
      <c r="P7" s="27"/>
      <c r="Q7" s="27"/>
      <c r="R7" s="27"/>
      <c r="S7" s="27"/>
      <c r="T7" s="85" t="str">
        <f>TiempoTotal(ProcesosEvaluados14[[#This Row],[Toma De Orden]],IF(ProcesosEvaluados14[[#This Row],[ListoTablet]], ProcesosEvaluados14[[#This Row],[ListoTablet]],HORA))</f>
        <v/>
      </c>
      <c r="U7" s="34" t="str">
        <f>TiempoTotal(ProcesosEvaluados14[[#This Row],[ListoCocina]],IF(ProcesosEvaluados14[[#This Row],[EntregaPlato]],ProcesosEvaluados14[[#This Row],[EntregaPlato]],HORA))</f>
        <v/>
      </c>
      <c r="V7" s="86" t="str">
        <f>TiempoTotal(ProcesosEvaluados14[[#This Row],[Toma De Orden]],IF(ProcesosEvaluados14[[#This Row],[EntregaPlato]],ProcesosEvaluados14[[#This Row],[EntregaPlato]],HORA))</f>
        <v/>
      </c>
      <c r="W7" s="39"/>
    </row>
    <row r="8" spans="1:23" ht="18" customHeight="1">
      <c r="B8" s="30"/>
      <c r="C8" s="27"/>
      <c r="D8" s="28"/>
      <c r="E8" s="55"/>
      <c r="F8" s="29" t="str">
        <f>TiempoTotal(RotacionesEvaluadas13[[#This Row],[Ocupada]],IF(RotacionesEvaluadas13[[#This Row],[Primera Atención]],RotacionesEvaluadas13[[#This Row],[Primera Atención]],HORA))</f>
        <v/>
      </c>
      <c r="G8" s="27"/>
      <c r="H8" s="28"/>
      <c r="I8" s="27"/>
      <c r="J8" s="29" t="str">
        <f>TiempoTotal(RotacionesEvaluadas13[[#This Row],[Desocupa]],IF(RotacionesEvaluadas13[[#This Row],[Limpieza]],RotacionesEvaluadas13[[#This Row],[Limpieza]],HORA))</f>
        <v/>
      </c>
      <c r="K8" s="30"/>
      <c r="L8" s="36"/>
      <c r="N8" s="98"/>
      <c r="O8" s="33"/>
      <c r="P8" s="95"/>
      <c r="Q8" s="27"/>
      <c r="R8" s="27"/>
      <c r="S8" s="27"/>
      <c r="T8" s="85" t="str">
        <f>TiempoTotal(ProcesosEvaluados14[[#This Row],[Toma De Orden]],IF(ProcesosEvaluados14[[#This Row],[ListoTablet]], ProcesosEvaluados14[[#This Row],[ListoTablet]],HORA))</f>
        <v/>
      </c>
      <c r="U8" s="34" t="str">
        <f>TiempoTotal(ProcesosEvaluados14[[#This Row],[ListoCocina]],IF(ProcesosEvaluados14[[#This Row],[EntregaPlato]],ProcesosEvaluados14[[#This Row],[EntregaPlato]],HORA))</f>
        <v/>
      </c>
      <c r="V8" s="86" t="str">
        <f>TiempoTotal(ProcesosEvaluados14[[#This Row],[Toma De Orden]],IF(ProcesosEvaluados14[[#This Row],[EntregaPlato]],ProcesosEvaluados14[[#This Row],[EntregaPlato]],HORA))</f>
        <v/>
      </c>
      <c r="W8" s="37"/>
    </row>
    <row r="9" spans="1:23" ht="18" customHeight="1">
      <c r="B9" s="30"/>
      <c r="C9" s="27"/>
      <c r="D9" s="28"/>
      <c r="E9" s="27"/>
      <c r="F9" s="29" t="str">
        <f>TiempoTotal(RotacionesEvaluadas13[[#This Row],[Ocupada]],IF(RotacionesEvaluadas13[[#This Row],[Primera Atención]],RotacionesEvaluadas13[[#This Row],[Primera Atención]],HORA))</f>
        <v/>
      </c>
      <c r="G9" s="27"/>
      <c r="H9" s="28"/>
      <c r="I9" s="27"/>
      <c r="J9" s="29" t="str">
        <f>TiempoTotal(RotacionesEvaluadas13[[#This Row],[Desocupa]],IF(RotacionesEvaluadas13[[#This Row],[Limpieza]],RotacionesEvaluadas13[[#This Row],[Limpieza]],HORA))</f>
        <v/>
      </c>
      <c r="K9" s="30"/>
      <c r="L9" s="38"/>
      <c r="N9" s="32"/>
      <c r="O9" s="33"/>
      <c r="P9" s="92"/>
      <c r="Q9" s="27"/>
      <c r="R9" s="27"/>
      <c r="S9" s="27"/>
      <c r="T9" s="85" t="str">
        <f>TiempoTotal(ProcesosEvaluados14[[#This Row],[Toma De Orden]],IF(ProcesosEvaluados14[[#This Row],[ListoTablet]], ProcesosEvaluados14[[#This Row],[ListoTablet]],HORA))</f>
        <v/>
      </c>
      <c r="U9" s="34" t="str">
        <f>TiempoTotal(ProcesosEvaluados14[[#This Row],[ListoCocina]],IF(ProcesosEvaluados14[[#This Row],[EntregaPlato]],ProcesosEvaluados14[[#This Row],[EntregaPlato]],HORA))</f>
        <v/>
      </c>
      <c r="V9" s="86" t="str">
        <f>TiempoTotal(ProcesosEvaluados14[[#This Row],[Toma De Orden]],IF(ProcesosEvaluados14[[#This Row],[EntregaPlato]],ProcesosEvaluados14[[#This Row],[EntregaPlato]],HORA))</f>
        <v/>
      </c>
      <c r="W9" s="39"/>
    </row>
    <row r="10" spans="1:23" ht="18" customHeight="1">
      <c r="B10" s="30"/>
      <c r="C10" s="27"/>
      <c r="D10" s="28"/>
      <c r="E10" s="27"/>
      <c r="F10" s="29" t="str">
        <f>TiempoTotal(RotacionesEvaluadas13[[#This Row],[Ocupada]],IF(RotacionesEvaluadas13[[#This Row],[Primera Atención]],RotacionesEvaluadas13[[#This Row],[Primera Atención]],HORA))</f>
        <v/>
      </c>
      <c r="G10" s="27"/>
      <c r="H10" s="28"/>
      <c r="I10" s="27"/>
      <c r="J10" s="29" t="str">
        <f>TiempoTotal(RotacionesEvaluadas13[[#This Row],[Desocupa]],IF(RotacionesEvaluadas13[[#This Row],[Limpieza]],RotacionesEvaluadas13[[#This Row],[Limpieza]],HORA))</f>
        <v/>
      </c>
      <c r="K10" s="30"/>
      <c r="L10" s="36"/>
      <c r="N10" s="32"/>
      <c r="O10" s="33"/>
      <c r="P10" s="92"/>
      <c r="Q10" s="27"/>
      <c r="R10" s="27"/>
      <c r="S10" s="27"/>
      <c r="T10" s="85" t="str">
        <f>TiempoTotal(ProcesosEvaluados14[[#This Row],[Toma De Orden]],IF(ProcesosEvaluados14[[#This Row],[ListoTablet]], ProcesosEvaluados14[[#This Row],[ListoTablet]],HORA))</f>
        <v/>
      </c>
      <c r="U10" s="34" t="str">
        <f>TiempoTotal(ProcesosEvaluados14[[#This Row],[ListoCocina]],IF(ProcesosEvaluados14[[#This Row],[EntregaPlato]],ProcesosEvaluados14[[#This Row],[EntregaPlato]],HORA))</f>
        <v/>
      </c>
      <c r="V10" s="86" t="str">
        <f>TiempoTotal(ProcesosEvaluados14[[#This Row],[Toma De Orden]],IF(ProcesosEvaluados14[[#This Row],[EntregaPlato]],ProcesosEvaluados14[[#This Row],[EntregaPlato]],HORA))</f>
        <v/>
      </c>
      <c r="W10" s="37"/>
    </row>
    <row r="11" spans="1:23" ht="18" customHeight="1">
      <c r="B11" s="30"/>
      <c r="C11" s="27"/>
      <c r="D11" s="28"/>
      <c r="E11" s="27"/>
      <c r="F11" s="29" t="str">
        <f>TiempoTotal(RotacionesEvaluadas13[[#This Row],[Ocupada]],IF(RotacionesEvaluadas13[[#This Row],[Primera Atención]],RotacionesEvaluadas13[[#This Row],[Primera Atención]],HORA))</f>
        <v/>
      </c>
      <c r="G11" s="27"/>
      <c r="H11" s="28"/>
      <c r="I11" s="27"/>
      <c r="J11" s="29" t="str">
        <f>TiempoTotal(RotacionesEvaluadas13[[#This Row],[Desocupa]],IF(RotacionesEvaluadas13[[#This Row],[Limpieza]],RotacionesEvaluadas13[[#This Row],[Limpieza]],HORA))</f>
        <v/>
      </c>
      <c r="K11" s="30"/>
      <c r="L11" s="38"/>
      <c r="N11" s="32"/>
      <c r="O11" s="33"/>
      <c r="P11" s="92"/>
      <c r="Q11" s="27"/>
      <c r="R11" s="27"/>
      <c r="S11" s="27"/>
      <c r="T11" s="85" t="str">
        <f>TiempoTotal(ProcesosEvaluados14[[#This Row],[Toma De Orden]],IF(ProcesosEvaluados14[[#This Row],[ListoTablet]], ProcesosEvaluados14[[#This Row],[ListoTablet]],HORA))</f>
        <v/>
      </c>
      <c r="U11" s="34" t="str">
        <f>TiempoTotal(ProcesosEvaluados14[[#This Row],[ListoCocina]],IF(ProcesosEvaluados14[[#This Row],[EntregaPlato]],ProcesosEvaluados14[[#This Row],[EntregaPlato]],HORA))</f>
        <v/>
      </c>
      <c r="V11" s="86" t="str">
        <f>TiempoTotal(ProcesosEvaluados14[[#This Row],[Toma De Orden]],IF(ProcesosEvaluados14[[#This Row],[EntregaPlato]],ProcesosEvaluados14[[#This Row],[EntregaPlato]],HORA))</f>
        <v/>
      </c>
      <c r="W11" s="39"/>
    </row>
    <row r="12" spans="1:23" ht="18" customHeight="1">
      <c r="B12" s="30"/>
      <c r="C12" s="27"/>
      <c r="D12" s="28"/>
      <c r="E12" s="27"/>
      <c r="F12" s="29" t="str">
        <f>TiempoTotal(RotacionesEvaluadas13[[#This Row],[Ocupada]],IF(RotacionesEvaluadas13[[#This Row],[Primera Atención]],RotacionesEvaluadas13[[#This Row],[Primera Atención]],HORA))</f>
        <v/>
      </c>
      <c r="G12" s="27"/>
      <c r="H12" s="28"/>
      <c r="I12" s="27"/>
      <c r="J12" s="29" t="str">
        <f>TiempoTotal(RotacionesEvaluadas13[[#This Row],[Desocupa]],IF(RotacionesEvaluadas13[[#This Row],[Limpieza]],RotacionesEvaluadas13[[#This Row],[Limpieza]],HORA))</f>
        <v/>
      </c>
      <c r="K12" s="30"/>
      <c r="L12" s="36"/>
      <c r="N12" s="32"/>
      <c r="O12" s="33"/>
      <c r="P12" s="27"/>
      <c r="Q12" s="27"/>
      <c r="R12" s="27"/>
      <c r="S12" s="27"/>
      <c r="T12" s="85" t="str">
        <f>TiempoTotal(ProcesosEvaluados14[[#This Row],[Toma De Orden]],IF(ProcesosEvaluados14[[#This Row],[ListoTablet]], ProcesosEvaluados14[[#This Row],[ListoTablet]],HORA))</f>
        <v/>
      </c>
      <c r="U12" s="34" t="str">
        <f>TiempoTotal(ProcesosEvaluados14[[#This Row],[ListoCocina]],IF(ProcesosEvaluados14[[#This Row],[EntregaPlato]],ProcesosEvaluados14[[#This Row],[EntregaPlato]],HORA))</f>
        <v/>
      </c>
      <c r="V12" s="86" t="str">
        <f>TiempoTotal(ProcesosEvaluados14[[#This Row],[Toma De Orden]],IF(ProcesosEvaluados14[[#This Row],[EntregaPlato]],ProcesosEvaluados14[[#This Row],[EntregaPlato]],HORA))</f>
        <v/>
      </c>
      <c r="W12" s="40"/>
    </row>
    <row r="13" spans="1:23" ht="18" customHeight="1">
      <c r="B13" s="30"/>
      <c r="C13" s="27"/>
      <c r="D13" s="28"/>
      <c r="E13" s="27"/>
      <c r="F13" s="29" t="str">
        <f>TiempoTotal(RotacionesEvaluadas13[[#This Row],[Ocupada]],IF(RotacionesEvaluadas13[[#This Row],[Primera Atención]],RotacionesEvaluadas13[[#This Row],[Primera Atención]],HORA))</f>
        <v/>
      </c>
      <c r="G13" s="27"/>
      <c r="H13" s="89"/>
      <c r="I13" s="92"/>
      <c r="J13" s="29" t="str">
        <f>TiempoTotal(RotacionesEvaluadas13[[#This Row],[Desocupa]],IF(RotacionesEvaluadas13[[#This Row],[Limpieza]],RotacionesEvaluadas13[[#This Row],[Limpieza]],HORA))</f>
        <v/>
      </c>
      <c r="K13" s="30"/>
      <c r="L13" s="38"/>
      <c r="N13" s="32"/>
      <c r="O13" s="33"/>
      <c r="P13" s="92"/>
      <c r="Q13" s="27"/>
      <c r="R13" s="27"/>
      <c r="S13" s="27"/>
      <c r="T13" s="85" t="str">
        <f>TiempoTotal(ProcesosEvaluados14[[#This Row],[Toma De Orden]],IF(ProcesosEvaluados14[[#This Row],[ListoTablet]], ProcesosEvaluados14[[#This Row],[ListoTablet]],HORA))</f>
        <v/>
      </c>
      <c r="U13" s="34" t="str">
        <f>TiempoTotal(ProcesosEvaluados14[[#This Row],[ListoCocina]],IF(ProcesosEvaluados14[[#This Row],[EntregaPlato]],ProcesosEvaluados14[[#This Row],[EntregaPlato]],HORA))</f>
        <v/>
      </c>
      <c r="V13" s="86" t="str">
        <f>TiempoTotal(ProcesosEvaluados14[[#This Row],[Toma De Orden]],IF(ProcesosEvaluados14[[#This Row],[EntregaPlato]],ProcesosEvaluados14[[#This Row],[EntregaPlato]],HORA))</f>
        <v/>
      </c>
      <c r="W13" s="39"/>
    </row>
    <row r="14" spans="1:23" ht="18" customHeight="1">
      <c r="B14" s="94"/>
      <c r="C14" s="95"/>
      <c r="D14" s="96"/>
      <c r="E14" s="95"/>
      <c r="F14" s="29" t="str">
        <f>TiempoTotal(RotacionesEvaluadas13[[#This Row],[Ocupada]],IF(RotacionesEvaluadas13[[#This Row],[Primera Atención]],RotacionesEvaluadas13[[#This Row],[Primera Atención]],HORA))</f>
        <v/>
      </c>
      <c r="G14" s="27"/>
      <c r="H14" s="28"/>
      <c r="I14" s="27"/>
      <c r="J14" s="29" t="str">
        <f>TiempoTotal(RotacionesEvaluadas13[[#This Row],[Desocupa]],IF(RotacionesEvaluadas13[[#This Row],[Limpieza]],RotacionesEvaluadas13[[#This Row],[Limpieza]],HORA))</f>
        <v/>
      </c>
      <c r="K14" s="30"/>
      <c r="L14" s="36"/>
      <c r="N14" s="93"/>
      <c r="O14" s="33"/>
      <c r="P14" s="92"/>
      <c r="Q14" s="27"/>
      <c r="R14" s="27"/>
      <c r="S14" s="27"/>
      <c r="T14" s="85" t="str">
        <f>TiempoTotal(ProcesosEvaluados14[[#This Row],[Toma De Orden]],IF(ProcesosEvaluados14[[#This Row],[ListoTablet]], ProcesosEvaluados14[[#This Row],[ListoTablet]],HORA))</f>
        <v/>
      </c>
      <c r="U14" s="34" t="str">
        <f>TiempoTotal(ProcesosEvaluados14[[#This Row],[ListoCocina]],IF(ProcesosEvaluados14[[#This Row],[EntregaPlato]],ProcesosEvaluados14[[#This Row],[EntregaPlato]],HORA))</f>
        <v/>
      </c>
      <c r="V14" s="86" t="str">
        <f>TiempoTotal(ProcesosEvaluados14[[#This Row],[Toma De Orden]],IF(ProcesosEvaluados14[[#This Row],[EntregaPlato]],ProcesosEvaluados14[[#This Row],[EntregaPlato]],HORA))</f>
        <v/>
      </c>
      <c r="W14" s="37"/>
    </row>
    <row r="15" spans="1:23" ht="18" customHeight="1">
      <c r="B15" s="94"/>
      <c r="C15" s="95"/>
      <c r="D15" s="96"/>
      <c r="E15" s="95"/>
      <c r="F15" s="29" t="str">
        <f>TiempoTotal(RotacionesEvaluadas13[[#This Row],[Ocupada]],IF(RotacionesEvaluadas13[[#This Row],[Primera Atención]],RotacionesEvaluadas13[[#This Row],[Primera Atención]],HORA))</f>
        <v/>
      </c>
      <c r="G15" s="27"/>
      <c r="H15" s="28"/>
      <c r="I15" s="27"/>
      <c r="J15" s="29" t="str">
        <f>TiempoTotal(RotacionesEvaluadas13[[#This Row],[Desocupa]],IF(RotacionesEvaluadas13[[#This Row],[Limpieza]],RotacionesEvaluadas13[[#This Row],[Limpieza]],HORA))</f>
        <v/>
      </c>
      <c r="K15" s="30"/>
      <c r="L15" s="38"/>
      <c r="N15" s="98"/>
      <c r="O15" s="33"/>
      <c r="P15" s="95"/>
      <c r="Q15" s="27"/>
      <c r="R15" s="27"/>
      <c r="S15" s="27"/>
      <c r="T15" s="85" t="str">
        <f>TiempoTotal(ProcesosEvaluados14[[#This Row],[Toma De Orden]],IF(ProcesosEvaluados14[[#This Row],[ListoTablet]], ProcesosEvaluados14[[#This Row],[ListoTablet]],HORA))</f>
        <v/>
      </c>
      <c r="U15" s="34" t="str">
        <f>TiempoTotal(ProcesosEvaluados14[[#This Row],[ListoCocina]],IF(ProcesosEvaluados14[[#This Row],[EntregaPlato]],ProcesosEvaluados14[[#This Row],[EntregaPlato]],HORA))</f>
        <v/>
      </c>
      <c r="V15" s="86" t="str">
        <f>TiempoTotal(ProcesosEvaluados14[[#This Row],[Toma De Orden]],IF(ProcesosEvaluados14[[#This Row],[EntregaPlato]],ProcesosEvaluados14[[#This Row],[EntregaPlato]],HORA))</f>
        <v/>
      </c>
      <c r="W15" s="39"/>
    </row>
    <row r="16" spans="1:23" ht="18" customHeight="1">
      <c r="B16" s="94"/>
      <c r="C16" s="95"/>
      <c r="D16" s="96"/>
      <c r="E16" s="95"/>
      <c r="F16" s="29" t="str">
        <f>TiempoTotal(RotacionesEvaluadas13[[#This Row],[Ocupada]],IF(RotacionesEvaluadas13[[#This Row],[Primera Atención]],RotacionesEvaluadas13[[#This Row],[Primera Atención]],HORA))</f>
        <v/>
      </c>
      <c r="G16" s="27"/>
      <c r="H16" s="28"/>
      <c r="I16" s="27"/>
      <c r="J16" s="29" t="str">
        <f>TiempoTotal(RotacionesEvaluadas13[[#This Row],[Desocupa]],IF(RotacionesEvaluadas13[[#This Row],[Limpieza]],RotacionesEvaluadas13[[#This Row],[Limpieza]],HORA))</f>
        <v/>
      </c>
      <c r="K16" s="30"/>
      <c r="L16" s="36"/>
      <c r="N16" s="98"/>
      <c r="O16" s="33"/>
      <c r="P16" s="95"/>
      <c r="Q16" s="27"/>
      <c r="R16" s="27"/>
      <c r="S16" s="27"/>
      <c r="T16" s="85" t="str">
        <f>TiempoTotal(ProcesosEvaluados14[[#This Row],[Toma De Orden]],IF(ProcesosEvaluados14[[#This Row],[ListoTablet]], ProcesosEvaluados14[[#This Row],[ListoTablet]],HORA))</f>
        <v/>
      </c>
      <c r="U16" s="34" t="str">
        <f>TiempoTotal(ProcesosEvaluados14[[#This Row],[ListoCocina]],IF(ProcesosEvaluados14[[#This Row],[EntregaPlato]],ProcesosEvaluados14[[#This Row],[EntregaPlato]],HORA))</f>
        <v/>
      </c>
      <c r="V16" s="86" t="str">
        <f>TiempoTotal(ProcesosEvaluados14[[#This Row],[Toma De Orden]],IF(ProcesosEvaluados14[[#This Row],[EntregaPlato]],ProcesosEvaluados14[[#This Row],[EntregaPlato]],HORA))</f>
        <v/>
      </c>
      <c r="W16" s="37"/>
    </row>
    <row r="17" spans="2:24" ht="18" customHeight="1">
      <c r="B17" s="94"/>
      <c r="C17" s="95"/>
      <c r="D17" s="96"/>
      <c r="E17" s="97"/>
      <c r="F17" s="29" t="str">
        <f>TiempoTotal(RotacionesEvaluadas13[[#This Row],[Ocupada]],IF(RotacionesEvaluadas13[[#This Row],[Primera Atención]],RotacionesEvaluadas13[[#This Row],[Primera Atención]],HORA))</f>
        <v/>
      </c>
      <c r="G17" s="27"/>
      <c r="H17" s="28"/>
      <c r="I17" s="27"/>
      <c r="J17" s="29" t="str">
        <f>TiempoTotal(RotacionesEvaluadas13[[#This Row],[Desocupa]],IF(RotacionesEvaluadas13[[#This Row],[Limpieza]],RotacionesEvaluadas13[[#This Row],[Limpieza]],HORA))</f>
        <v/>
      </c>
      <c r="K17" s="30"/>
      <c r="L17" s="38"/>
      <c r="N17" s="98"/>
      <c r="O17" s="33"/>
      <c r="P17" s="95"/>
      <c r="Q17" s="27"/>
      <c r="R17" s="27"/>
      <c r="S17" s="27"/>
      <c r="T17" s="85" t="str">
        <f>TiempoTotal(ProcesosEvaluados14[[#This Row],[Toma De Orden]],IF(ProcesosEvaluados14[[#This Row],[ListoTablet]], ProcesosEvaluados14[[#This Row],[ListoTablet]],HORA))</f>
        <v/>
      </c>
      <c r="U17" s="34" t="str">
        <f>TiempoTotal(ProcesosEvaluados14[[#This Row],[ListoCocina]],IF(ProcesosEvaluados14[[#This Row],[EntregaPlato]],ProcesosEvaluados14[[#This Row],[EntregaPlato]],HORA))</f>
        <v/>
      </c>
      <c r="V17" s="86" t="str">
        <f>TiempoTotal(ProcesosEvaluados14[[#This Row],[Toma De Orden]],IF(ProcesosEvaluados14[[#This Row],[EntregaPlato]],ProcesosEvaluados14[[#This Row],[EntregaPlato]],HORA))</f>
        <v/>
      </c>
      <c r="W17" s="39"/>
      <c r="X17" s="21"/>
    </row>
    <row r="18" spans="2:24" ht="18" customHeight="1">
      <c r="B18" s="94"/>
      <c r="C18" s="95"/>
      <c r="D18" s="96"/>
      <c r="E18" s="97"/>
      <c r="F18" s="29" t="str">
        <f>TiempoTotal(RotacionesEvaluadas13[[#This Row],[Ocupada]],IF(RotacionesEvaluadas13[[#This Row],[Primera Atención]],RotacionesEvaluadas13[[#This Row],[Primera Atención]],HORA))</f>
        <v/>
      </c>
      <c r="G18" s="92"/>
      <c r="H18" s="28"/>
      <c r="I18" s="27"/>
      <c r="J18" s="29" t="str">
        <f>TiempoTotal(RotacionesEvaluadas13[[#This Row],[Desocupa]],IF(RotacionesEvaluadas13[[#This Row],[Limpieza]],RotacionesEvaluadas13[[#This Row],[Limpieza]],HORA))</f>
        <v/>
      </c>
      <c r="K18" s="30"/>
      <c r="L18" s="36"/>
      <c r="N18" s="98"/>
      <c r="O18" s="33"/>
      <c r="P18" s="95"/>
      <c r="Q18" s="27"/>
      <c r="R18" s="27"/>
      <c r="S18" s="27"/>
      <c r="T18" s="85" t="str">
        <f>TiempoTotal(ProcesosEvaluados14[[#This Row],[Toma De Orden]],IF(ProcesosEvaluados14[[#This Row],[ListoTablet]], ProcesosEvaluados14[[#This Row],[ListoTablet]],HORA))</f>
        <v/>
      </c>
      <c r="U18" s="34" t="str">
        <f>TiempoTotal(ProcesosEvaluados14[[#This Row],[ListoCocina]],IF(ProcesosEvaluados14[[#This Row],[EntregaPlato]],ProcesosEvaluados14[[#This Row],[EntregaPlato]],HORA))</f>
        <v/>
      </c>
      <c r="V18" s="86" t="str">
        <f>TiempoTotal(ProcesosEvaluados14[[#This Row],[Toma De Orden]],IF(ProcesosEvaluados14[[#This Row],[EntregaPlato]],ProcesosEvaluados14[[#This Row],[EntregaPlato]],HORA))</f>
        <v/>
      </c>
      <c r="W18" s="41"/>
      <c r="X18" s="22"/>
    </row>
    <row r="19" spans="2:24" ht="18" customHeight="1">
      <c r="B19" s="94"/>
      <c r="C19" s="95"/>
      <c r="D19" s="96"/>
      <c r="E19" s="95"/>
      <c r="F19" s="29" t="str">
        <f>TiempoTotal(RotacionesEvaluadas13[[#This Row],[Ocupada]],IF(RotacionesEvaluadas13[[#This Row],[Primera Atención]],RotacionesEvaluadas13[[#This Row],[Primera Atención]],HORA))</f>
        <v/>
      </c>
      <c r="G19" s="27"/>
      <c r="H19" s="28"/>
      <c r="I19" s="27"/>
      <c r="J19" s="29" t="str">
        <f>TiempoTotal(RotacionesEvaluadas13[[#This Row],[Desocupa]],IF(RotacionesEvaluadas13[[#This Row],[Limpieza]],RotacionesEvaluadas13[[#This Row],[Limpieza]],HORA))</f>
        <v/>
      </c>
      <c r="K19" s="30"/>
      <c r="L19" s="38"/>
      <c r="N19" s="98"/>
      <c r="O19" s="33"/>
      <c r="P19" s="95"/>
      <c r="Q19" s="27"/>
      <c r="R19" s="27"/>
      <c r="S19" s="27"/>
      <c r="T19" s="85" t="str">
        <f>TiempoTotal(ProcesosEvaluados14[[#This Row],[Toma De Orden]],IF(ProcesosEvaluados14[[#This Row],[ListoTablet]], ProcesosEvaluados14[[#This Row],[ListoTablet]],HORA))</f>
        <v/>
      </c>
      <c r="U19" s="34" t="str">
        <f>TiempoTotal(ProcesosEvaluados14[[#This Row],[ListoCocina]],IF(ProcesosEvaluados14[[#This Row],[EntregaPlato]],ProcesosEvaluados14[[#This Row],[EntregaPlato]],HORA))</f>
        <v/>
      </c>
      <c r="V19" s="86" t="str">
        <f>TiempoTotal(ProcesosEvaluados14[[#This Row],[Toma De Orden]],IF(ProcesosEvaluados14[[#This Row],[EntregaPlato]],ProcesosEvaluados14[[#This Row],[EntregaPlato]],HORA))</f>
        <v/>
      </c>
      <c r="W19" s="37"/>
    </row>
    <row r="20" spans="2:24" ht="18" customHeight="1">
      <c r="B20" s="30"/>
      <c r="C20" s="27"/>
      <c r="D20" s="28"/>
      <c r="E20" s="27"/>
      <c r="F20" s="29" t="str">
        <f>TiempoTotal(RotacionesEvaluadas13[[#This Row],[Ocupada]],IF(RotacionesEvaluadas13[[#This Row],[Primera Atención]],RotacionesEvaluadas13[[#This Row],[Primera Atención]],HORA))</f>
        <v/>
      </c>
      <c r="G20" s="27"/>
      <c r="H20" s="28"/>
      <c r="I20" s="87"/>
      <c r="J20" s="29" t="str">
        <f>TiempoTotal(RotacionesEvaluadas13[[#This Row],[Desocupa]],IF(RotacionesEvaluadas13[[#This Row],[Limpieza]],RotacionesEvaluadas13[[#This Row],[Limpieza]],HORA))</f>
        <v/>
      </c>
      <c r="K20" s="30"/>
      <c r="L20" s="36"/>
      <c r="N20" s="93"/>
      <c r="O20" s="33"/>
      <c r="P20" s="92"/>
      <c r="Q20" s="27"/>
      <c r="R20" s="27"/>
      <c r="S20" s="27"/>
      <c r="T20" s="85" t="str">
        <f>TiempoTotal(ProcesosEvaluados14[[#This Row],[Toma De Orden]],IF(ProcesosEvaluados14[[#This Row],[ListoTablet]], ProcesosEvaluados14[[#This Row],[ListoTablet]],HORA))</f>
        <v/>
      </c>
      <c r="U20" s="34" t="str">
        <f>TiempoTotal(ProcesosEvaluados14[[#This Row],[ListoCocina]],IF(ProcesosEvaluados14[[#This Row],[EntregaPlato]],ProcesosEvaluados14[[#This Row],[EntregaPlato]],HORA))</f>
        <v/>
      </c>
      <c r="V20" s="86" t="str">
        <f>TiempoTotal(ProcesosEvaluados14[[#This Row],[Toma De Orden]],IF(ProcesosEvaluados14[[#This Row],[EntregaPlato]],ProcesosEvaluados14[[#This Row],[EntregaPlato]],HORA))</f>
        <v/>
      </c>
      <c r="W20" s="39"/>
    </row>
    <row r="21" spans="2:24" ht="18" customHeight="1">
      <c r="B21" s="30"/>
      <c r="C21" s="27"/>
      <c r="D21" s="28"/>
      <c r="E21" s="27"/>
      <c r="F21" s="29" t="str">
        <f>TiempoTotal(RotacionesEvaluadas13[[#This Row],[Ocupada]],IF(RotacionesEvaluadas13[[#This Row],[Primera Atención]],RotacionesEvaluadas13[[#This Row],[Primera Atención]],HORA))</f>
        <v/>
      </c>
      <c r="G21" s="27"/>
      <c r="H21" s="28"/>
      <c r="I21" s="27"/>
      <c r="J21" s="29" t="str">
        <f>TiempoTotal(RotacionesEvaluadas13[[#This Row],[Desocupa]],IF(RotacionesEvaluadas13[[#This Row],[Limpieza]],RotacionesEvaluadas13[[#This Row],[Limpieza]],HORA))</f>
        <v/>
      </c>
      <c r="K21" s="30"/>
      <c r="L21" s="38"/>
      <c r="N21" s="93"/>
      <c r="O21" s="33"/>
      <c r="P21" s="92"/>
      <c r="Q21" s="27"/>
      <c r="R21" s="92"/>
      <c r="S21" s="27"/>
      <c r="T21" s="85" t="str">
        <f>TiempoTotal(ProcesosEvaluados14[[#This Row],[Toma De Orden]],IF(ProcesosEvaluados14[[#This Row],[ListoTablet]], ProcesosEvaluados14[[#This Row],[ListoTablet]],HORA))</f>
        <v/>
      </c>
      <c r="U21" s="34" t="str">
        <f>TiempoTotal(ProcesosEvaluados14[[#This Row],[ListoCocina]],IF(ProcesosEvaluados14[[#This Row],[EntregaPlato]],ProcesosEvaluados14[[#This Row],[EntregaPlato]],HORA))</f>
        <v/>
      </c>
      <c r="V21" s="86" t="str">
        <f>TiempoTotal(ProcesosEvaluados14[[#This Row],[Toma De Orden]],IF(ProcesosEvaluados14[[#This Row],[EntregaPlato]],ProcesosEvaluados14[[#This Row],[EntregaPlato]],HORA))</f>
        <v/>
      </c>
      <c r="W21" s="37"/>
    </row>
    <row r="22" spans="2:24" ht="18" customHeight="1">
      <c r="B22" s="30"/>
      <c r="C22" s="27"/>
      <c r="D22" s="28"/>
      <c r="E22" s="27"/>
      <c r="F22" s="29" t="str">
        <f>TiempoTotal(RotacionesEvaluadas13[[#This Row],[Ocupada]],IF(RotacionesEvaluadas13[[#This Row],[Primera Atención]],RotacionesEvaluadas13[[#This Row],[Primera Atención]],HORA))</f>
        <v/>
      </c>
      <c r="G22" s="27"/>
      <c r="H22" s="28"/>
      <c r="I22" s="27"/>
      <c r="J22" s="29" t="str">
        <f>TiempoTotal(RotacionesEvaluadas13[[#This Row],[Desocupa]],IF(RotacionesEvaluadas13[[#This Row],[Limpieza]],RotacionesEvaluadas13[[#This Row],[Limpieza]],HORA))</f>
        <v/>
      </c>
      <c r="K22" s="30"/>
      <c r="L22" s="36"/>
      <c r="N22" s="93"/>
      <c r="O22" s="33"/>
      <c r="P22" s="92"/>
      <c r="Q22" s="27"/>
      <c r="R22" s="27"/>
      <c r="S22" s="27"/>
      <c r="T22" s="85" t="str">
        <f>TiempoTotal(ProcesosEvaluados14[[#This Row],[Toma De Orden]],IF(ProcesosEvaluados14[[#This Row],[ListoTablet]], ProcesosEvaluados14[[#This Row],[ListoTablet]],HORA))</f>
        <v/>
      </c>
      <c r="U22" s="34" t="str">
        <f>TiempoTotal(ProcesosEvaluados14[[#This Row],[ListoCocina]],IF(ProcesosEvaluados14[[#This Row],[EntregaPlato]],ProcesosEvaluados14[[#This Row],[EntregaPlato]],HORA))</f>
        <v/>
      </c>
      <c r="V22" s="86" t="str">
        <f>TiempoTotal(ProcesosEvaluados14[[#This Row],[Toma De Orden]],IF(ProcesosEvaluados14[[#This Row],[EntregaPlato]],ProcesosEvaluados14[[#This Row],[EntregaPlato]],HORA))</f>
        <v/>
      </c>
      <c r="W22" s="39"/>
    </row>
    <row r="23" spans="2:24" ht="18" customHeight="1">
      <c r="B23" s="30"/>
      <c r="C23" s="27"/>
      <c r="D23" s="28"/>
      <c r="E23" s="27"/>
      <c r="F23" s="29" t="str">
        <f>TiempoTotal(RotacionesEvaluadas13[[#This Row],[Ocupada]],IF(RotacionesEvaluadas13[[#This Row],[Primera Atención]],RotacionesEvaluadas13[[#This Row],[Primera Atención]],HORA))</f>
        <v/>
      </c>
      <c r="G23" s="27"/>
      <c r="H23" s="28"/>
      <c r="I23" s="27"/>
      <c r="J23" s="29" t="str">
        <f>TiempoTotal(RotacionesEvaluadas13[[#This Row],[Desocupa]],IF(RotacionesEvaluadas13[[#This Row],[Limpieza]],RotacionesEvaluadas13[[#This Row],[Limpieza]],HORA))</f>
        <v/>
      </c>
      <c r="K23" s="30"/>
      <c r="L23" s="38"/>
      <c r="N23" s="93"/>
      <c r="O23" s="33"/>
      <c r="P23" s="92"/>
      <c r="Q23" s="27"/>
      <c r="R23" s="27"/>
      <c r="S23" s="27"/>
      <c r="T23" s="85" t="str">
        <f>TiempoTotal(ProcesosEvaluados14[[#This Row],[Toma De Orden]],IF(ProcesosEvaluados14[[#This Row],[ListoTablet]], ProcesosEvaluados14[[#This Row],[ListoTablet]],HORA))</f>
        <v/>
      </c>
      <c r="U23" s="34" t="str">
        <f>TiempoTotal(ProcesosEvaluados14[[#This Row],[ListoCocina]],IF(ProcesosEvaluados14[[#This Row],[EntregaPlato]],ProcesosEvaluados14[[#This Row],[EntregaPlato]],HORA))</f>
        <v/>
      </c>
      <c r="V23" s="86" t="str">
        <f>TiempoTotal(ProcesosEvaluados14[[#This Row],[Toma De Orden]],IF(ProcesosEvaluados14[[#This Row],[EntregaPlato]],ProcesosEvaluados14[[#This Row],[EntregaPlato]],HORA))</f>
        <v/>
      </c>
      <c r="W23" s="37"/>
    </row>
    <row r="24" spans="2:24" ht="18" customHeight="1">
      <c r="B24" s="30"/>
      <c r="C24" s="27"/>
      <c r="D24" s="28"/>
      <c r="E24" s="27"/>
      <c r="F24" s="29" t="str">
        <f>TiempoTotal(RotacionesEvaluadas13[[#This Row],[Ocupada]],IF(RotacionesEvaluadas13[[#This Row],[Primera Atención]],RotacionesEvaluadas13[[#This Row],[Primera Atención]],HORA))</f>
        <v/>
      </c>
      <c r="G24" s="92"/>
      <c r="H24" s="28"/>
      <c r="I24" s="27"/>
      <c r="J24" s="29" t="str">
        <f>TiempoTotal(RotacionesEvaluadas13[[#This Row],[Desocupa]],IF(RotacionesEvaluadas13[[#This Row],[Limpieza]],RotacionesEvaluadas13[[#This Row],[Limpieza]],HORA))</f>
        <v/>
      </c>
      <c r="K24" s="30"/>
      <c r="L24" s="36"/>
      <c r="N24" s="93"/>
      <c r="O24" s="33"/>
      <c r="P24" s="92"/>
      <c r="Q24" s="27"/>
      <c r="R24" s="27"/>
      <c r="S24" s="27"/>
      <c r="T24" s="85" t="str">
        <f>TiempoTotal(ProcesosEvaluados14[[#This Row],[Toma De Orden]],IF(ProcesosEvaluados14[[#This Row],[ListoTablet]], ProcesosEvaluados14[[#This Row],[ListoTablet]],HORA))</f>
        <v/>
      </c>
      <c r="U24" s="34" t="str">
        <f>TiempoTotal(ProcesosEvaluados14[[#This Row],[ListoCocina]],IF(ProcesosEvaluados14[[#This Row],[EntregaPlato]],ProcesosEvaluados14[[#This Row],[EntregaPlato]],HORA))</f>
        <v/>
      </c>
      <c r="V24" s="86" t="str">
        <f>TiempoTotal(ProcesosEvaluados14[[#This Row],[Toma De Orden]],IF(ProcesosEvaluados14[[#This Row],[EntregaPlato]],ProcesosEvaluados14[[#This Row],[EntregaPlato]],HORA))</f>
        <v/>
      </c>
      <c r="W24" s="39"/>
    </row>
    <row r="25" spans="2:24" ht="18" customHeight="1">
      <c r="B25" s="30"/>
      <c r="C25" s="27"/>
      <c r="D25" s="28"/>
      <c r="E25" s="27"/>
      <c r="F25" s="29" t="str">
        <f>TiempoTotal(RotacionesEvaluadas13[[#This Row],[Ocupada]],IF(RotacionesEvaluadas13[[#This Row],[Primera Atención]],RotacionesEvaluadas13[[#This Row],[Primera Atención]],HORA))</f>
        <v/>
      </c>
      <c r="G25" s="27"/>
      <c r="H25" s="28"/>
      <c r="I25" s="27"/>
      <c r="J25" s="29" t="str">
        <f>TiempoTotal(RotacionesEvaluadas13[[#This Row],[Desocupa]],IF(RotacionesEvaluadas13[[#This Row],[Limpieza]],RotacionesEvaluadas13[[#This Row],[Limpieza]],HORA))</f>
        <v/>
      </c>
      <c r="K25" s="30"/>
      <c r="L25" s="38"/>
      <c r="N25" s="93"/>
      <c r="O25" s="33"/>
      <c r="P25" s="27"/>
      <c r="Q25" s="27"/>
      <c r="R25" s="27"/>
      <c r="S25" s="27"/>
      <c r="T25" s="85" t="str">
        <f>TiempoTotal(ProcesosEvaluados14[[#This Row],[Toma De Orden]],IF(ProcesosEvaluados14[[#This Row],[ListoTablet]], ProcesosEvaluados14[[#This Row],[ListoTablet]],HORA))</f>
        <v/>
      </c>
      <c r="U25" s="34" t="str">
        <f>TiempoTotal(ProcesosEvaluados14[[#This Row],[ListoCocina]],IF(ProcesosEvaluados14[[#This Row],[EntregaPlato]],ProcesosEvaluados14[[#This Row],[EntregaPlato]],HORA))</f>
        <v/>
      </c>
      <c r="V25" s="86" t="str">
        <f>TiempoTotal(ProcesosEvaluados14[[#This Row],[Toma De Orden]],IF(ProcesosEvaluados14[[#This Row],[EntregaPlato]],ProcesosEvaluados14[[#This Row],[EntregaPlato]],HORA))</f>
        <v/>
      </c>
      <c r="W25" s="37"/>
    </row>
    <row r="26" spans="2:24" ht="18" customHeight="1">
      <c r="B26" s="30"/>
      <c r="C26" s="27"/>
      <c r="D26" s="28"/>
      <c r="E26" s="27"/>
      <c r="F26" s="29" t="str">
        <f>TiempoTotal(RotacionesEvaluadas13[[#This Row],[Ocupada]],IF(RotacionesEvaluadas13[[#This Row],[Primera Atención]],RotacionesEvaluadas13[[#This Row],[Primera Atención]],HORA))</f>
        <v/>
      </c>
      <c r="G26" s="27"/>
      <c r="H26" s="28"/>
      <c r="I26" s="27"/>
      <c r="J26" s="29" t="str">
        <f>TiempoTotal(RotacionesEvaluadas13[[#This Row],[Desocupa]],IF(RotacionesEvaluadas13[[#This Row],[Limpieza]],RotacionesEvaluadas13[[#This Row],[Limpieza]],HORA))</f>
        <v/>
      </c>
      <c r="K26" s="30"/>
      <c r="L26" s="36"/>
      <c r="N26" s="93"/>
      <c r="O26" s="33"/>
      <c r="P26" s="95"/>
      <c r="Q26" s="27"/>
      <c r="R26" s="27"/>
      <c r="S26" s="27"/>
      <c r="T26" s="85" t="str">
        <f>TiempoTotal(ProcesosEvaluados14[[#This Row],[Toma De Orden]],IF(ProcesosEvaluados14[[#This Row],[ListoTablet]], ProcesosEvaluados14[[#This Row],[ListoTablet]],HORA))</f>
        <v/>
      </c>
      <c r="U26" s="34" t="str">
        <f>TiempoTotal(ProcesosEvaluados14[[#This Row],[ListoCocina]],IF(ProcesosEvaluados14[[#This Row],[EntregaPlato]],ProcesosEvaluados14[[#This Row],[EntregaPlato]],HORA))</f>
        <v/>
      </c>
      <c r="V26" s="86" t="str">
        <f>TiempoTotal(ProcesosEvaluados14[[#This Row],[Toma De Orden]],IF(ProcesosEvaluados14[[#This Row],[EntregaPlato]],ProcesosEvaluados14[[#This Row],[EntregaPlato]],HORA))</f>
        <v/>
      </c>
      <c r="W26" s="39"/>
    </row>
    <row r="27" spans="2:24" ht="18" customHeight="1">
      <c r="B27" s="30"/>
      <c r="C27" s="27"/>
      <c r="D27" s="28"/>
      <c r="E27" s="27"/>
      <c r="F27" s="29" t="str">
        <f>TiempoTotal(RotacionesEvaluadas13[[#This Row],[Ocupada]],IF(RotacionesEvaluadas13[[#This Row],[Primera Atención]],RotacionesEvaluadas13[[#This Row],[Primera Atención]],HORA))</f>
        <v/>
      </c>
      <c r="G27" s="27"/>
      <c r="H27" s="28"/>
      <c r="I27" s="27"/>
      <c r="J27" s="29" t="str">
        <f>TiempoTotal(RotacionesEvaluadas13[[#This Row],[Desocupa]],IF(RotacionesEvaluadas13[[#This Row],[Limpieza]],RotacionesEvaluadas13[[#This Row],[Limpieza]],HORA))</f>
        <v/>
      </c>
      <c r="K27" s="30"/>
      <c r="L27" s="38"/>
      <c r="N27" s="93"/>
      <c r="O27" s="33"/>
      <c r="P27" s="92"/>
      <c r="Q27" s="27"/>
      <c r="R27" s="27"/>
      <c r="S27" s="27"/>
      <c r="T27" s="85" t="str">
        <f>TiempoTotal(ProcesosEvaluados14[[#This Row],[Toma De Orden]],IF(ProcesosEvaluados14[[#This Row],[ListoTablet]], ProcesosEvaluados14[[#This Row],[ListoTablet]],HORA))</f>
        <v/>
      </c>
      <c r="U27" s="34" t="str">
        <f>TiempoTotal(ProcesosEvaluados14[[#This Row],[ListoCocina]],IF(ProcesosEvaluados14[[#This Row],[EntregaPlato]],ProcesosEvaluados14[[#This Row],[EntregaPlato]],HORA))</f>
        <v/>
      </c>
      <c r="V27" s="86" t="str">
        <f>TiempoTotal(ProcesosEvaluados14[[#This Row],[Toma De Orden]],IF(ProcesosEvaluados14[[#This Row],[EntregaPlato]],ProcesosEvaluados14[[#This Row],[EntregaPlato]],HORA))</f>
        <v/>
      </c>
      <c r="W27" s="40"/>
    </row>
    <row r="28" spans="2:24" ht="18" customHeight="1">
      <c r="B28" s="30"/>
      <c r="C28" s="27"/>
      <c r="D28" s="28"/>
      <c r="E28" s="27"/>
      <c r="F28" s="29" t="str">
        <f>TiempoTotal(RotacionesEvaluadas13[[#This Row],[Ocupada]],IF(RotacionesEvaluadas13[[#This Row],[Primera Atención]],RotacionesEvaluadas13[[#This Row],[Primera Atención]],HORA))</f>
        <v/>
      </c>
      <c r="G28" s="27"/>
      <c r="H28" s="28"/>
      <c r="I28" s="27"/>
      <c r="J28" s="29" t="str">
        <f>TiempoTotal(RotacionesEvaluadas13[[#This Row],[Desocupa]],IF(RotacionesEvaluadas13[[#This Row],[Limpieza]],RotacionesEvaluadas13[[#This Row],[Limpieza]],HORA))</f>
        <v/>
      </c>
      <c r="K28" s="30"/>
      <c r="L28" s="36"/>
      <c r="N28" s="32"/>
      <c r="O28" s="33"/>
      <c r="P28" s="27"/>
      <c r="Q28" s="27"/>
      <c r="R28" s="27"/>
      <c r="S28" s="27"/>
      <c r="T28" s="85" t="str">
        <f>TiempoTotal(ProcesosEvaluados14[[#This Row],[Toma De Orden]],IF(ProcesosEvaluados14[[#This Row],[ListoTablet]], ProcesosEvaluados14[[#This Row],[ListoTablet]],HORA))</f>
        <v/>
      </c>
      <c r="U28" s="34" t="str">
        <f>TiempoTotal(ProcesosEvaluados14[[#This Row],[ListoCocina]],IF(ProcesosEvaluados14[[#This Row],[EntregaPlato]],ProcesosEvaluados14[[#This Row],[EntregaPlato]],HORA))</f>
        <v/>
      </c>
      <c r="V28" s="86" t="str">
        <f>TiempoTotal(ProcesosEvaluados14[[#This Row],[Toma De Orden]],IF(ProcesosEvaluados14[[#This Row],[EntregaPlato]],ProcesosEvaluados14[[#This Row],[EntregaPlato]],HORA))</f>
        <v/>
      </c>
      <c r="W28" s="39"/>
    </row>
    <row r="29" spans="2:24" ht="18" customHeight="1">
      <c r="B29" s="30"/>
      <c r="C29" s="27"/>
      <c r="D29" s="28"/>
      <c r="E29" s="27"/>
      <c r="F29" s="29" t="str">
        <f>TiempoTotal(RotacionesEvaluadas13[[#This Row],[Ocupada]],IF(RotacionesEvaluadas13[[#This Row],[Primera Atención]],RotacionesEvaluadas13[[#This Row],[Primera Atención]],HORA))</f>
        <v/>
      </c>
      <c r="G29" s="27"/>
      <c r="H29" s="28"/>
      <c r="I29" s="27"/>
      <c r="J29" s="29" t="str">
        <f>TiempoTotal(RotacionesEvaluadas13[[#This Row],[Desocupa]],IF(RotacionesEvaluadas13[[#This Row],[Limpieza]],RotacionesEvaluadas13[[#This Row],[Limpieza]],HORA))</f>
        <v/>
      </c>
      <c r="K29" s="30"/>
      <c r="L29" s="38"/>
      <c r="N29" s="32"/>
      <c r="O29" s="33"/>
      <c r="P29" s="95"/>
      <c r="Q29" s="27"/>
      <c r="R29" s="27"/>
      <c r="S29" s="27"/>
      <c r="T29" s="85" t="str">
        <f>TiempoTotal(ProcesosEvaluados14[[#This Row],[Toma De Orden]],IF(ProcesosEvaluados14[[#This Row],[ListoTablet]], ProcesosEvaluados14[[#This Row],[ListoTablet]],HORA))</f>
        <v/>
      </c>
      <c r="U29" s="34" t="str">
        <f>TiempoTotal(ProcesosEvaluados14[[#This Row],[ListoCocina]],IF(ProcesosEvaluados14[[#This Row],[EntregaPlato]],ProcesosEvaluados14[[#This Row],[EntregaPlato]],HORA))</f>
        <v/>
      </c>
      <c r="V29" s="86" t="str">
        <f>TiempoTotal(ProcesosEvaluados14[[#This Row],[Toma De Orden]],IF(ProcesosEvaluados14[[#This Row],[EntregaPlato]],ProcesosEvaluados14[[#This Row],[EntregaPlato]],HORA))</f>
        <v/>
      </c>
      <c r="W29" s="37"/>
    </row>
    <row r="30" spans="2:24" ht="18" customHeight="1">
      <c r="B30" s="30"/>
      <c r="C30" s="27"/>
      <c r="D30" s="28"/>
      <c r="E30" s="27"/>
      <c r="F30" s="29" t="str">
        <f>TiempoTotal(RotacionesEvaluadas13[[#This Row],[Ocupada]],IF(RotacionesEvaluadas13[[#This Row],[Primera Atención]],RotacionesEvaluadas13[[#This Row],[Primera Atención]],HORA))</f>
        <v/>
      </c>
      <c r="G30" s="27"/>
      <c r="H30" s="28"/>
      <c r="I30" s="27"/>
      <c r="J30" s="29" t="str">
        <f>TiempoTotal(RotacionesEvaluadas13[[#This Row],[Desocupa]],IF(RotacionesEvaluadas13[[#This Row],[Limpieza]],RotacionesEvaluadas13[[#This Row],[Limpieza]],HORA))</f>
        <v/>
      </c>
      <c r="K30" s="30"/>
      <c r="L30" s="36"/>
      <c r="N30" s="32"/>
      <c r="O30" s="33"/>
      <c r="P30" s="27"/>
      <c r="Q30" s="27"/>
      <c r="R30" s="27"/>
      <c r="S30" s="27"/>
      <c r="T30" s="85" t="str">
        <f>TiempoTotal(ProcesosEvaluados14[[#This Row],[Toma De Orden]],IF(ProcesosEvaluados14[[#This Row],[ListoTablet]], ProcesosEvaluados14[[#This Row],[ListoTablet]],HORA))</f>
        <v/>
      </c>
      <c r="U30" s="34" t="str">
        <f>TiempoTotal(ProcesosEvaluados14[[#This Row],[ListoCocina]],IF(ProcesosEvaluados14[[#This Row],[EntregaPlato]],ProcesosEvaluados14[[#This Row],[EntregaPlato]],HORA))</f>
        <v/>
      </c>
      <c r="V30" s="86" t="str">
        <f>TiempoTotal(ProcesosEvaluados14[[#This Row],[Toma De Orden]],IF(ProcesosEvaluados14[[#This Row],[EntregaPlato]],ProcesosEvaluados14[[#This Row],[EntregaPlato]],HORA))</f>
        <v/>
      </c>
      <c r="W30" s="39"/>
    </row>
    <row r="31" spans="2:24" ht="18" customHeight="1">
      <c r="B31" s="30"/>
      <c r="C31" s="27"/>
      <c r="D31" s="28"/>
      <c r="E31" s="27"/>
      <c r="F31" s="29" t="str">
        <f>TiempoTotal(RotacionesEvaluadas13[[#This Row],[Ocupada]],IF(RotacionesEvaluadas13[[#This Row],[Primera Atención]],RotacionesEvaluadas13[[#This Row],[Primera Atención]],HORA))</f>
        <v/>
      </c>
      <c r="G31" s="95"/>
      <c r="H31" s="28"/>
      <c r="I31" s="27"/>
      <c r="J31" s="29" t="str">
        <f>TiempoTotal(RotacionesEvaluadas13[[#This Row],[Desocupa]],IF(RotacionesEvaluadas13[[#This Row],[Limpieza]],RotacionesEvaluadas13[[#This Row],[Limpieza]],HORA))</f>
        <v/>
      </c>
      <c r="K31" s="30"/>
      <c r="L31" s="38"/>
      <c r="N31" s="32"/>
      <c r="O31" s="33"/>
      <c r="P31" s="27"/>
      <c r="Q31" s="27"/>
      <c r="R31" s="27"/>
      <c r="S31" s="27"/>
      <c r="T31" s="85" t="str">
        <f>TiempoTotal(ProcesosEvaluados14[[#This Row],[Toma De Orden]],IF(ProcesosEvaluados14[[#This Row],[ListoTablet]], ProcesosEvaluados14[[#This Row],[ListoTablet]],HORA))</f>
        <v/>
      </c>
      <c r="U31" s="34" t="str">
        <f>TiempoTotal(ProcesosEvaluados14[[#This Row],[ListoCocina]],IF(ProcesosEvaluados14[[#This Row],[EntregaPlato]],ProcesosEvaluados14[[#This Row],[EntregaPlato]],HORA))</f>
        <v/>
      </c>
      <c r="V31" s="86" t="str">
        <f>TiempoTotal(ProcesosEvaluados14[[#This Row],[Toma De Orden]],IF(ProcesosEvaluados14[[#This Row],[EntregaPlato]],ProcesosEvaluados14[[#This Row],[EntregaPlato]],HORA))</f>
        <v/>
      </c>
      <c r="W31" s="37"/>
    </row>
    <row r="32" spans="2:24" ht="18" customHeight="1" thickBot="1">
      <c r="B32" s="30"/>
      <c r="C32" s="27"/>
      <c r="D32" s="28"/>
      <c r="E32" s="27"/>
      <c r="F32" s="29" t="str">
        <f>TiempoTotal(RotacionesEvaluadas13[[#This Row],[Ocupada]],IF(RotacionesEvaluadas13[[#This Row],[Primera Atención]],RotacionesEvaluadas13[[#This Row],[Primera Atención]],HORA))</f>
        <v/>
      </c>
      <c r="G32" s="27"/>
      <c r="H32" s="28"/>
      <c r="I32" s="27"/>
      <c r="J32" s="29" t="str">
        <f>TiempoTotal(RotacionesEvaluadas13[[#This Row],[Desocupa]],IF(RotacionesEvaluadas13[[#This Row],[Limpieza]],RotacionesEvaluadas13[[#This Row],[Limpieza]],HORA))</f>
        <v/>
      </c>
      <c r="K32" s="30"/>
      <c r="L32" s="36"/>
      <c r="M32" s="42"/>
      <c r="N32" s="32"/>
      <c r="O32" s="33"/>
      <c r="P32" s="27"/>
      <c r="Q32" s="27"/>
      <c r="R32" s="27"/>
      <c r="S32" s="27"/>
      <c r="T32" s="85" t="str">
        <f>TiempoTotal(ProcesosEvaluados14[[#This Row],[Toma De Orden]],IF(ProcesosEvaluados14[[#This Row],[ListoTablet]], ProcesosEvaluados14[[#This Row],[ListoTablet]],HORA))</f>
        <v/>
      </c>
      <c r="U32" s="34" t="str">
        <f>TiempoTotal(ProcesosEvaluados14[[#This Row],[ListoCocina]],IF(ProcesosEvaluados14[[#This Row],[EntregaPlato]],ProcesosEvaluados14[[#This Row],[EntregaPlato]],HORA))</f>
        <v/>
      </c>
      <c r="V32" s="86" t="str">
        <f>TiempoTotal(ProcesosEvaluados14[[#This Row],[Toma De Orden]],IF(ProcesosEvaluados14[[#This Row],[EntregaPlato]],ProcesosEvaluados14[[#This Row],[EntregaPlato]],HORA))</f>
        <v/>
      </c>
      <c r="W32" s="43"/>
    </row>
    <row r="33" spans="1:23" ht="18" customHeight="1">
      <c r="B33" s="30"/>
      <c r="C33" s="27"/>
      <c r="D33" s="28"/>
      <c r="E33" s="27"/>
      <c r="F33" s="29" t="str">
        <f>TiempoTotal(RotacionesEvaluadas13[[#This Row],[Ocupada]],IF(RotacionesEvaluadas13[[#This Row],[Primera Atención]],RotacionesEvaluadas13[[#This Row],[Primera Atención]],HORA))</f>
        <v/>
      </c>
      <c r="G33" s="27"/>
      <c r="H33" s="28"/>
      <c r="I33" s="27"/>
      <c r="J33" s="29" t="str">
        <f>TiempoTotal(RotacionesEvaluadas13[[#This Row],[Desocupa]],IF(RotacionesEvaluadas13[[#This Row],[Limpieza]],RotacionesEvaluadas13[[#This Row],[Limpieza]],HORA))</f>
        <v/>
      </c>
      <c r="K33" s="30"/>
      <c r="L33" s="38"/>
      <c r="N33" s="44"/>
      <c r="O33" s="44"/>
      <c r="P33" s="44"/>
      <c r="Q33" s="44"/>
      <c r="R33" s="44"/>
      <c r="S33" s="44"/>
      <c r="T33" s="44"/>
      <c r="U33" s="44"/>
      <c r="V33" s="44"/>
      <c r="W33" s="44"/>
    </row>
    <row r="34" spans="1:23" ht="18" customHeight="1" thickBot="1">
      <c r="B34" s="30"/>
      <c r="C34" s="27"/>
      <c r="D34" s="28"/>
      <c r="E34" s="27"/>
      <c r="F34" s="29" t="str">
        <f>TiempoTotal(RotacionesEvaluadas13[[#This Row],[Ocupada]],IF(RotacionesEvaluadas13[[#This Row],[Primera Atención]],RotacionesEvaluadas13[[#This Row],[Primera Atención]],HORA))</f>
        <v/>
      </c>
      <c r="G34" s="27"/>
      <c r="H34" s="28"/>
      <c r="I34" s="27"/>
      <c r="J34" s="29" t="str">
        <f>TiempoTotal(RotacionesEvaluadas13[[#This Row],[Desocupa]],IF(RotacionesEvaluadas13[[#This Row],[Limpieza]],RotacionesEvaluadas13[[#This Row],[Limpieza]],HORA))</f>
        <v/>
      </c>
      <c r="K34" s="30"/>
      <c r="L34" s="36"/>
    </row>
    <row r="35" spans="1:23" ht="18" customHeight="1" thickBot="1">
      <c r="B35" s="30"/>
      <c r="C35" s="27"/>
      <c r="D35" s="28"/>
      <c r="E35" s="27"/>
      <c r="F35" s="29" t="str">
        <f>TiempoTotal(RotacionesEvaluadas13[[#This Row],[Ocupada]],IF(RotacionesEvaluadas13[[#This Row],[Primera Atención]],RotacionesEvaluadas13[[#This Row],[Primera Atención]],HORA))</f>
        <v/>
      </c>
      <c r="G35" s="27"/>
      <c r="H35" s="28"/>
      <c r="I35" s="27"/>
      <c r="J35" s="29" t="str">
        <f>TiempoTotal(RotacionesEvaluadas13[[#This Row],[Desocupa]],IF(RotacionesEvaluadas13[[#This Row],[Limpieza]],RotacionesEvaluadas13[[#This Row],[Limpieza]],HORA))</f>
        <v/>
      </c>
      <c r="K35" s="30"/>
      <c r="L35" s="38"/>
      <c r="P35" s="171" t="s">
        <v>7</v>
      </c>
      <c r="Q35" s="172"/>
      <c r="R35" s="172"/>
      <c r="S35" s="172"/>
      <c r="T35" s="172"/>
      <c r="U35" s="172"/>
      <c r="V35" s="176" t="s">
        <v>19</v>
      </c>
      <c r="W35" s="177"/>
    </row>
    <row r="36" spans="1:23" ht="18" customHeight="1" thickBot="1">
      <c r="A36" s="21"/>
      <c r="B36" s="30"/>
      <c r="C36" s="27"/>
      <c r="D36" s="28"/>
      <c r="E36" s="27"/>
      <c r="F36" s="29" t="str">
        <f>TiempoTotal(RotacionesEvaluadas13[[#This Row],[Ocupada]],IF(RotacionesEvaluadas13[[#This Row],[Primera Atención]],RotacionesEvaluadas13[[#This Row],[Primera Atención]],HORA))</f>
        <v/>
      </c>
      <c r="G36" s="27"/>
      <c r="H36" s="28"/>
      <c r="I36" s="27"/>
      <c r="J36" s="29" t="str">
        <f>TiempoTotal(RotacionesEvaluadas13[[#This Row],[Desocupa]],IF(RotacionesEvaluadas13[[#This Row],[Limpieza]],RotacionesEvaluadas13[[#This Row],[Limpieza]],HORA))</f>
        <v/>
      </c>
      <c r="K36" s="30"/>
      <c r="L36" s="36"/>
      <c r="P36" s="45" t="s">
        <v>2</v>
      </c>
      <c r="Q36" s="46" t="s">
        <v>14</v>
      </c>
      <c r="R36" s="47" t="s">
        <v>8</v>
      </c>
      <c r="S36" s="47" t="s">
        <v>9</v>
      </c>
      <c r="T36" s="48" t="s">
        <v>10</v>
      </c>
      <c r="U36" s="49" t="s">
        <v>20</v>
      </c>
      <c r="V36" s="178"/>
      <c r="W36" s="179"/>
    </row>
    <row r="37" spans="1:23" ht="18" customHeight="1">
      <c r="B37" s="30"/>
      <c r="C37" s="27"/>
      <c r="D37" s="28"/>
      <c r="E37" s="27"/>
      <c r="F37" s="29" t="str">
        <f>TiempoTotal(RotacionesEvaluadas13[[#This Row],[Ocupada]],IF(RotacionesEvaluadas13[[#This Row],[Primera Atención]],RotacionesEvaluadas13[[#This Row],[Primera Atención]],HORA))</f>
        <v/>
      </c>
      <c r="G37" s="27"/>
      <c r="H37" s="28"/>
      <c r="I37" s="27"/>
      <c r="J37" s="29" t="str">
        <f>TiempoTotal(RotacionesEvaluadas13[[#This Row],[Desocupa]],IF(RotacionesEvaluadas13[[#This Row],[Limpieza]],RotacionesEvaluadas13[[#This Row],[Limpieza]],HORA))</f>
        <v/>
      </c>
      <c r="K37" s="30"/>
      <c r="L37" s="38"/>
      <c r="N37" s="50" t="s">
        <v>28</v>
      </c>
      <c r="O37" s="51"/>
      <c r="P37" s="52"/>
      <c r="Q37" s="53"/>
      <c r="R37" s="54"/>
      <c r="S37" s="27"/>
      <c r="T37" s="27"/>
      <c r="U37" s="56" t="str">
        <f>TiempoTotal(ToquesGerentes15[[#This Row],[Inicio]],ToquesGerentes15[[#This Row],[Finalizo]])</f>
        <v/>
      </c>
      <c r="V37" s="57"/>
      <c r="W37" s="58"/>
    </row>
    <row r="38" spans="1:23" ht="18" customHeight="1">
      <c r="B38" s="30"/>
      <c r="C38" s="27"/>
      <c r="D38" s="28"/>
      <c r="E38" s="27"/>
      <c r="F38" s="29" t="str">
        <f>TiempoTotal(RotacionesEvaluadas13[[#This Row],[Ocupada]],IF(RotacionesEvaluadas13[[#This Row],[Primera Atención]],RotacionesEvaluadas13[[#This Row],[Primera Atención]],HORA))</f>
        <v/>
      </c>
      <c r="G38" s="27"/>
      <c r="H38" s="28"/>
      <c r="I38" s="27"/>
      <c r="J38" s="29" t="str">
        <f>TiempoTotal(RotacionesEvaluadas13[[#This Row],[Desocupa]],IF(RotacionesEvaluadas13[[#This Row],[Limpieza]],RotacionesEvaluadas13[[#This Row],[Limpieza]],HORA))</f>
        <v/>
      </c>
      <c r="K38" s="30"/>
      <c r="L38" s="59"/>
      <c r="N38" s="60" t="s">
        <v>26</v>
      </c>
      <c r="O38" s="61"/>
      <c r="P38" s="52"/>
      <c r="Q38" s="53"/>
      <c r="R38" s="54"/>
      <c r="S38" s="27"/>
      <c r="T38" s="27"/>
      <c r="U38" s="56" t="str">
        <f>TiempoTotal(ToquesGerentes15[[#This Row],[Inicio]],ToquesGerentes15[[#This Row],[Finalizo]])</f>
        <v/>
      </c>
      <c r="V38" s="62"/>
      <c r="W38" s="63"/>
    </row>
    <row r="39" spans="1:23" ht="18" customHeight="1" thickBot="1">
      <c r="B39" s="30"/>
      <c r="C39" s="27"/>
      <c r="D39" s="28"/>
      <c r="E39" s="27"/>
      <c r="F39" s="29" t="str">
        <f>TiempoTotal(RotacionesEvaluadas13[[#This Row],[Ocupada]],IF(RotacionesEvaluadas13[[#This Row],[Primera Atención]],RotacionesEvaluadas13[[#This Row],[Primera Atención]],HORA))</f>
        <v/>
      </c>
      <c r="G39" s="27"/>
      <c r="H39" s="28"/>
      <c r="I39" s="27"/>
      <c r="J39" s="29" t="str">
        <f>TiempoTotal(RotacionesEvaluadas13[[#This Row],[Desocupa]],IF(RotacionesEvaluadas13[[#This Row],[Limpieza]],RotacionesEvaluadas13[[#This Row],[Limpieza]],HORA))</f>
        <v/>
      </c>
      <c r="K39" s="30"/>
      <c r="L39" s="38"/>
      <c r="N39" s="64" t="s">
        <v>27</v>
      </c>
      <c r="O39" s="65"/>
      <c r="P39" s="52"/>
      <c r="Q39" s="53"/>
      <c r="R39" s="54"/>
      <c r="S39" s="27"/>
      <c r="T39" s="27"/>
      <c r="U39" s="56" t="str">
        <f>TiempoTotal(ToquesGerentes15[[#This Row],[Inicio]],ToquesGerentes15[[#This Row],[Finalizo]])</f>
        <v/>
      </c>
      <c r="V39" s="62"/>
      <c r="W39" s="63"/>
    </row>
    <row r="40" spans="1:23" ht="18" customHeight="1">
      <c r="B40" s="88"/>
      <c r="C40" s="27"/>
      <c r="D40" s="28"/>
      <c r="E40" s="27"/>
      <c r="F40" s="29" t="str">
        <f>TiempoTotal(RotacionesEvaluadas13[[#This Row],[Ocupada]],IF(RotacionesEvaluadas13[[#This Row],[Primera Atención]],RotacionesEvaluadas13[[#This Row],[Primera Atención]],HORA))</f>
        <v/>
      </c>
      <c r="G40" s="27"/>
      <c r="H40" s="28"/>
      <c r="I40" s="27"/>
      <c r="J40" s="29" t="str">
        <f>TiempoTotal(RotacionesEvaluadas13[[#This Row],[Desocupa]],IF(RotacionesEvaluadas13[[#This Row],[Limpieza]],RotacionesEvaluadas13[[#This Row],[Limpieza]],HORA))</f>
        <v/>
      </c>
      <c r="K40" s="30"/>
      <c r="L40" s="36"/>
      <c r="N40" s="23" t="s">
        <v>43</v>
      </c>
      <c r="O40" s="66">
        <v>46148.596261574072</v>
      </c>
      <c r="P40" s="52"/>
      <c r="Q40" s="53"/>
      <c r="R40" s="54"/>
      <c r="S40" s="27"/>
      <c r="T40" s="27"/>
      <c r="U40" s="56" t="str">
        <f>TiempoTotal(ToquesGerentes15[[#This Row],[Inicio]],ToquesGerentes15[[#This Row],[Finalizo]])</f>
        <v/>
      </c>
      <c r="V40" s="62"/>
      <c r="W40" s="63"/>
    </row>
    <row r="41" spans="1:23" ht="18" customHeight="1">
      <c r="B41" s="88"/>
      <c r="C41" s="27"/>
      <c r="D41" s="28"/>
      <c r="E41" s="27"/>
      <c r="F41" s="29" t="str">
        <f>TiempoTotal(RotacionesEvaluadas13[[#This Row],[Ocupada]],IF(RotacionesEvaluadas13[[#This Row],[Primera Atención]],RotacionesEvaluadas13[[#This Row],[Primera Atención]],HORA))</f>
        <v/>
      </c>
      <c r="G41" s="27"/>
      <c r="H41" s="28"/>
      <c r="I41" s="27"/>
      <c r="J41" s="29" t="str">
        <f>TiempoTotal(RotacionesEvaluadas13[[#This Row],[Desocupa]],IF(RotacionesEvaluadas13[[#This Row],[Limpieza]],RotacionesEvaluadas13[[#This Row],[Limpieza]],HORA))</f>
        <v/>
      </c>
      <c r="K41" s="30"/>
      <c r="L41" s="38"/>
      <c r="N41" s="23" t="s">
        <v>44</v>
      </c>
      <c r="O41" s="68">
        <v>392</v>
      </c>
      <c r="P41" s="52"/>
      <c r="Q41" s="53"/>
      <c r="R41" s="54"/>
      <c r="S41" s="90"/>
      <c r="T41" s="90"/>
      <c r="U41" s="56" t="str">
        <f>TiempoTotal(ToquesGerentes15[[#This Row],[Inicio]],ToquesGerentes15[[#This Row],[Finalizo]])</f>
        <v/>
      </c>
      <c r="V41" s="62"/>
      <c r="W41" s="63"/>
    </row>
    <row r="42" spans="1:23" ht="18" customHeight="1">
      <c r="B42" s="88"/>
      <c r="C42" s="27"/>
      <c r="D42" s="28"/>
      <c r="E42" s="95"/>
      <c r="F42" s="29" t="str">
        <f>TiempoTotal(RotacionesEvaluadas13[[#This Row],[Ocupada]],IF(RotacionesEvaluadas13[[#This Row],[Primera Atención]],RotacionesEvaluadas13[[#This Row],[Primera Atención]],HORA))</f>
        <v/>
      </c>
      <c r="G42" s="27"/>
      <c r="H42" s="28"/>
      <c r="I42" s="27"/>
      <c r="J42" s="29" t="str">
        <f>TiempoTotal(RotacionesEvaluadas13[[#This Row],[Desocupa]],IF(RotacionesEvaluadas13[[#This Row],[Limpieza]],RotacionesEvaluadas13[[#This Row],[Limpieza]],HORA))</f>
        <v/>
      </c>
      <c r="K42" s="30"/>
      <c r="L42" s="36"/>
      <c r="N42" s="23" t="s">
        <v>45</v>
      </c>
      <c r="O42" s="68">
        <v>0</v>
      </c>
      <c r="P42" s="52"/>
      <c r="Q42" s="53"/>
      <c r="R42" s="54"/>
      <c r="S42" s="55"/>
      <c r="T42" s="55"/>
      <c r="U42" s="56" t="str">
        <f>TiempoTotal(ToquesGerentes15[[#This Row],[Inicio]],ToquesGerentes15[[#This Row],[Finalizo]])</f>
        <v/>
      </c>
      <c r="V42" s="62"/>
      <c r="W42" s="63"/>
    </row>
    <row r="43" spans="1:23" ht="18" customHeight="1">
      <c r="B43" s="88"/>
      <c r="C43" s="27"/>
      <c r="D43" s="28"/>
      <c r="E43" s="27"/>
      <c r="F43" s="29" t="str">
        <f>TiempoTotal(RotacionesEvaluadas13[[#This Row],[Ocupada]],IF(RotacionesEvaluadas13[[#This Row],[Primera Atención]],RotacionesEvaluadas13[[#This Row],[Primera Atención]],HORA))</f>
        <v/>
      </c>
      <c r="G43" s="27"/>
      <c r="H43" s="28"/>
      <c r="I43" s="27"/>
      <c r="J43" s="29" t="str">
        <f>TiempoTotal(RotacionesEvaluadas13[[#This Row],[Desocupa]],IF(RotacionesEvaluadas13[[#This Row],[Limpieza]],RotacionesEvaluadas13[[#This Row],[Limpieza]],HORA))</f>
        <v/>
      </c>
      <c r="K43" s="30"/>
      <c r="L43" s="38"/>
      <c r="P43" s="52"/>
      <c r="Q43" s="53"/>
      <c r="R43" s="54"/>
      <c r="S43" s="27"/>
      <c r="T43" s="27"/>
      <c r="U43" s="56" t="str">
        <f>TiempoTotal(ToquesGerentes15[[#This Row],[Inicio]],ToquesGerentes15[[#This Row],[Finalizo]])</f>
        <v/>
      </c>
      <c r="V43" s="62"/>
      <c r="W43" s="63"/>
    </row>
    <row r="44" spans="1:23" ht="18" customHeight="1">
      <c r="B44" s="88"/>
      <c r="C44" s="27"/>
      <c r="D44" s="28"/>
      <c r="E44" s="27"/>
      <c r="F44" s="29" t="str">
        <f>TiempoTotal(RotacionesEvaluadas13[[#This Row],[Ocupada]],IF(RotacionesEvaluadas13[[#This Row],[Primera Atención]],RotacionesEvaluadas13[[#This Row],[Primera Atención]],HORA))</f>
        <v/>
      </c>
      <c r="G44" s="27"/>
      <c r="H44" s="28"/>
      <c r="I44" s="27"/>
      <c r="J44" s="29" t="str">
        <f>TiempoTotal(RotacionesEvaluadas13[[#This Row],[Desocupa]],IF(RotacionesEvaluadas13[[#This Row],[Limpieza]],RotacionesEvaluadas13[[#This Row],[Limpieza]],HORA))</f>
        <v/>
      </c>
      <c r="K44" s="28"/>
      <c r="L44" s="59"/>
      <c r="P44" s="52"/>
      <c r="Q44" s="53"/>
      <c r="R44" s="54"/>
      <c r="S44" s="55"/>
      <c r="T44" s="55"/>
      <c r="U44" s="56" t="str">
        <f>TiempoTotal(ToquesGerentes15[[#This Row],[Inicio]],ToquesGerentes15[[#This Row],[Finalizo]])</f>
        <v/>
      </c>
      <c r="V44" s="62"/>
      <c r="W44" s="63"/>
    </row>
    <row r="45" spans="1:23" ht="18" customHeight="1">
      <c r="B45" s="30"/>
      <c r="C45" s="27"/>
      <c r="D45" s="28"/>
      <c r="E45" s="27"/>
      <c r="F45" s="29" t="str">
        <f>TiempoTotal(RotacionesEvaluadas13[[#This Row],[Ocupada]],IF(RotacionesEvaluadas13[[#This Row],[Primera Atención]],RotacionesEvaluadas13[[#This Row],[Primera Atención]],HORA))</f>
        <v/>
      </c>
      <c r="G45" s="27"/>
      <c r="H45" s="28"/>
      <c r="I45" s="27"/>
      <c r="J45" s="29" t="str">
        <f>TiempoTotal(RotacionesEvaluadas13[[#This Row],[Desocupa]],IF(RotacionesEvaluadas13[[#This Row],[Limpieza]],RotacionesEvaluadas13[[#This Row],[Limpieza]],HORA))</f>
        <v/>
      </c>
      <c r="K45" s="30"/>
      <c r="L45" s="38"/>
      <c r="P45" s="52"/>
      <c r="Q45" s="53"/>
      <c r="R45" s="54"/>
      <c r="S45" s="55"/>
      <c r="T45" s="55"/>
      <c r="U45" s="56" t="str">
        <f>TiempoTotal(ToquesGerentes15[[#This Row],[Inicio]],ToquesGerentes15[[#This Row],[Finalizo]])</f>
        <v/>
      </c>
      <c r="V45" s="62"/>
      <c r="W45" s="63"/>
    </row>
    <row r="46" spans="1:23" ht="18" customHeight="1">
      <c r="B46" s="88"/>
      <c r="C46" s="27"/>
      <c r="D46" s="28"/>
      <c r="E46" s="27"/>
      <c r="F46" s="29" t="str">
        <f>TiempoTotal(RotacionesEvaluadas13[[#This Row],[Ocupada]],IF(RotacionesEvaluadas13[[#This Row],[Primera Atención]],RotacionesEvaluadas13[[#This Row],[Primera Atención]],HORA))</f>
        <v/>
      </c>
      <c r="G46" s="27"/>
      <c r="H46" s="28"/>
      <c r="I46" s="27"/>
      <c r="J46" s="29" t="str">
        <f>TiempoTotal(RotacionesEvaluadas13[[#This Row],[Desocupa]],IF(RotacionesEvaluadas13[[#This Row],[Limpieza]],RotacionesEvaluadas13[[#This Row],[Limpieza]],HORA))</f>
        <v/>
      </c>
      <c r="K46" s="30"/>
      <c r="L46" s="36"/>
      <c r="P46" s="52"/>
      <c r="Q46" s="53"/>
      <c r="R46" s="54"/>
      <c r="S46" s="27"/>
      <c r="T46" s="27"/>
      <c r="U46" s="56" t="str">
        <f>TiempoTotal(ToquesGerentes15[[#This Row],[Inicio]],ToquesGerentes15[[#This Row],[Finalizo]])</f>
        <v/>
      </c>
      <c r="V46" s="69"/>
      <c r="W46" s="70"/>
    </row>
    <row r="47" spans="1:23" ht="18" customHeight="1">
      <c r="B47" s="30"/>
      <c r="C47" s="27"/>
      <c r="D47" s="28"/>
      <c r="E47" s="27"/>
      <c r="F47" s="29" t="str">
        <f>TiempoTotal(RotacionesEvaluadas13[[#This Row],[Ocupada]],IF(RotacionesEvaluadas13[[#This Row],[Primera Atención]],RotacionesEvaluadas13[[#This Row],[Primera Atención]],HORA))</f>
        <v/>
      </c>
      <c r="G47" s="27"/>
      <c r="H47" s="28"/>
      <c r="I47" s="27"/>
      <c r="J47" s="29" t="str">
        <f>TiempoTotal(RotacionesEvaluadas13[[#This Row],[Desocupa]],IF(RotacionesEvaluadas13[[#This Row],[Limpieza]],RotacionesEvaluadas13[[#This Row],[Limpieza]],HORA))</f>
        <v/>
      </c>
      <c r="K47" s="30"/>
      <c r="L47" s="38"/>
      <c r="P47" s="67"/>
      <c r="Q47" s="53"/>
      <c r="R47" s="54"/>
      <c r="S47" s="55"/>
      <c r="T47" s="55"/>
      <c r="U47" s="56" t="str">
        <f>TiempoTotal(ToquesGerentes15[[#This Row],[Inicio]],ToquesGerentes15[[#This Row],[Finalizo]])</f>
        <v/>
      </c>
      <c r="V47" s="62"/>
      <c r="W47" s="63"/>
    </row>
    <row r="48" spans="1:23" ht="18" customHeight="1">
      <c r="B48" s="30"/>
      <c r="C48" s="27"/>
      <c r="D48" s="28"/>
      <c r="E48" s="27"/>
      <c r="F48" s="29" t="str">
        <f>TiempoTotal(RotacionesEvaluadas13[[#This Row],[Ocupada]],IF(RotacionesEvaluadas13[[#This Row],[Primera Atención]],RotacionesEvaluadas13[[#This Row],[Primera Atención]],HORA))</f>
        <v/>
      </c>
      <c r="G48" s="27"/>
      <c r="H48" s="28"/>
      <c r="I48" s="27"/>
      <c r="J48" s="29" t="str">
        <f>TiempoTotal(RotacionesEvaluadas13[[#This Row],[Desocupa]],IF(RotacionesEvaluadas13[[#This Row],[Limpieza]],RotacionesEvaluadas13[[#This Row],[Limpieza]],HORA))</f>
        <v/>
      </c>
      <c r="K48" s="30"/>
      <c r="L48" s="36"/>
      <c r="P48" s="52"/>
      <c r="Q48" s="53"/>
      <c r="R48" s="54"/>
      <c r="S48" s="55"/>
      <c r="T48" s="55"/>
      <c r="U48" s="56" t="str">
        <f>TiempoTotal(ToquesGerentes15[[#This Row],[Inicio]],ToquesGerentes15[[#This Row],[Finalizo]])</f>
        <v/>
      </c>
      <c r="V48" s="62"/>
      <c r="W48" s="63"/>
    </row>
    <row r="49" spans="2:23" ht="18" customHeight="1">
      <c r="B49" s="30"/>
      <c r="C49" s="27"/>
      <c r="D49" s="28"/>
      <c r="E49" s="27"/>
      <c r="F49" s="29" t="str">
        <f>TiempoTotal(RotacionesEvaluadas13[[#This Row],[Ocupada]],IF(RotacionesEvaluadas13[[#This Row],[Primera Atención]],RotacionesEvaluadas13[[#This Row],[Primera Atención]],HORA))</f>
        <v/>
      </c>
      <c r="G49" s="27"/>
      <c r="H49" s="28"/>
      <c r="I49" s="27"/>
      <c r="J49" s="29" t="str">
        <f>TiempoTotal(RotacionesEvaluadas13[[#This Row],[Desocupa]],IF(RotacionesEvaluadas13[[#This Row],[Limpieza]],RotacionesEvaluadas13[[#This Row],[Limpieza]],HORA))</f>
        <v/>
      </c>
      <c r="K49" s="30"/>
      <c r="L49" s="38"/>
      <c r="P49" s="52"/>
      <c r="Q49" s="53"/>
      <c r="R49" s="54"/>
      <c r="S49" s="27"/>
      <c r="T49" s="27"/>
      <c r="U49" s="56" t="str">
        <f>TiempoTotal(ToquesGerentes15[[#This Row],[Inicio]],ToquesGerentes15[[#This Row],[Finalizo]])</f>
        <v/>
      </c>
      <c r="V49" s="62"/>
      <c r="W49" s="63"/>
    </row>
    <row r="50" spans="2:23" ht="18" customHeight="1">
      <c r="B50" s="30"/>
      <c r="C50" s="27"/>
      <c r="D50" s="28"/>
      <c r="E50" s="27"/>
      <c r="F50" s="29" t="str">
        <f>TiempoTotal(RotacionesEvaluadas13[[#This Row],[Ocupada]],IF(RotacionesEvaluadas13[[#This Row],[Primera Atención]],RotacionesEvaluadas13[[#This Row],[Primera Atención]],HORA))</f>
        <v/>
      </c>
      <c r="G50" s="27"/>
      <c r="H50" s="28"/>
      <c r="I50" s="27"/>
      <c r="J50" s="29" t="str">
        <f>TiempoTotal(RotacionesEvaluadas13[[#This Row],[Desocupa]],IF(RotacionesEvaluadas13[[#This Row],[Limpieza]],RotacionesEvaluadas13[[#This Row],[Limpieza]],HORA))</f>
        <v/>
      </c>
      <c r="K50" s="30"/>
      <c r="L50" s="59"/>
      <c r="P50" s="67"/>
      <c r="Q50" s="53"/>
      <c r="R50" s="54"/>
      <c r="S50" s="55"/>
      <c r="T50" s="55"/>
      <c r="U50" s="56" t="str">
        <f>TiempoTotal(ToquesGerentes15[[#This Row],[Inicio]],ToquesGerentes15[[#This Row],[Finalizo]])</f>
        <v/>
      </c>
      <c r="V50" s="62"/>
      <c r="W50" s="63"/>
    </row>
    <row r="51" spans="2:23" ht="18" customHeight="1" thickBot="1">
      <c r="B51" s="30"/>
      <c r="C51" s="27"/>
      <c r="D51" s="28"/>
      <c r="E51" s="27"/>
      <c r="F51" s="29" t="str">
        <f>TiempoTotal(RotacionesEvaluadas13[[#This Row],[Ocupada]],IF(RotacionesEvaluadas13[[#This Row],[Primera Atención]],RotacionesEvaluadas13[[#This Row],[Primera Atención]],HORA))</f>
        <v/>
      </c>
      <c r="G51" s="27"/>
      <c r="H51" s="28"/>
      <c r="I51" s="27"/>
      <c r="J51" s="29" t="str">
        <f>TiempoTotal(RotacionesEvaluadas13[[#This Row],[Desocupa]],IF(RotacionesEvaluadas13[[#This Row],[Limpieza]],RotacionesEvaluadas13[[#This Row],[Limpieza]],HORA))</f>
        <v/>
      </c>
      <c r="K51" s="30"/>
      <c r="L51" s="38"/>
      <c r="P51" s="52"/>
      <c r="Q51" s="53"/>
      <c r="R51" s="54"/>
      <c r="S51" s="55"/>
      <c r="T51" s="55"/>
      <c r="U51" s="56" t="str">
        <f>TiempoTotal(ToquesGerentes15[[#This Row],[Inicio]],ToquesGerentes15[[#This Row],[Finalizo]])</f>
        <v/>
      </c>
      <c r="V51" s="71"/>
      <c r="W51" s="72"/>
    </row>
    <row r="52" spans="2:23" ht="18" customHeight="1" thickBot="1">
      <c r="B52" s="30"/>
      <c r="C52" s="27"/>
      <c r="D52" s="28"/>
      <c r="E52" s="27"/>
      <c r="F52" s="29" t="str">
        <f>TiempoTotal(RotacionesEvaluadas13[[#This Row],[Ocupada]],IF(RotacionesEvaluadas13[[#This Row],[Primera Atención]],RotacionesEvaluadas13[[#This Row],[Primera Atención]],HORA))</f>
        <v/>
      </c>
      <c r="G52" s="27"/>
      <c r="H52" s="28"/>
      <c r="I52" s="27"/>
      <c r="J52" s="29" t="str">
        <f>TiempoTotal(RotacionesEvaluadas13[[#This Row],[Desocupa]],IF(RotacionesEvaluadas13[[#This Row],[Limpieza]],RotacionesEvaluadas13[[#This Row],[Limpieza]],HORA))</f>
        <v/>
      </c>
      <c r="K52" s="30"/>
      <c r="L52" s="36"/>
    </row>
    <row r="53" spans="2:23" ht="18" customHeight="1" thickBot="1">
      <c r="B53" s="30"/>
      <c r="C53" s="27"/>
      <c r="D53" s="28"/>
      <c r="E53" s="27"/>
      <c r="F53" s="29" t="str">
        <f>TiempoTotal(RotacionesEvaluadas13[[#This Row],[Ocupada]],IF(RotacionesEvaluadas13[[#This Row],[Primera Atención]],RotacionesEvaluadas13[[#This Row],[Primera Atención]],HORA))</f>
        <v/>
      </c>
      <c r="G53" s="27"/>
      <c r="H53" s="28"/>
      <c r="I53" s="27"/>
      <c r="J53" s="29" t="str">
        <f>TiempoTotal(RotacionesEvaluadas13[[#This Row],[Desocupa]],IF(RotacionesEvaluadas13[[#This Row],[Limpieza]],RotacionesEvaluadas13[[#This Row],[Limpieza]],HORA))</f>
        <v/>
      </c>
      <c r="K53" s="30"/>
      <c r="L53" s="38"/>
      <c r="R53" s="163" t="s">
        <v>59</v>
      </c>
      <c r="S53" s="164"/>
      <c r="T53" s="164"/>
      <c r="U53" s="164"/>
      <c r="V53" s="176" t="s">
        <v>19</v>
      </c>
      <c r="W53" s="177"/>
    </row>
    <row r="54" spans="2:23" ht="18" customHeight="1" thickBot="1">
      <c r="B54" s="30"/>
      <c r="C54" s="27"/>
      <c r="D54" s="28"/>
      <c r="E54" s="27"/>
      <c r="F54" s="29" t="str">
        <f>TiempoTotal(RotacionesEvaluadas13[[#This Row],[Ocupada]],IF(RotacionesEvaluadas13[[#This Row],[Primera Atención]],RotacionesEvaluadas13[[#This Row],[Primera Atención]],HORA))</f>
        <v/>
      </c>
      <c r="G54" s="27"/>
      <c r="H54" s="28"/>
      <c r="I54" s="27"/>
      <c r="J54" s="29" t="str">
        <f>TiempoTotal(RotacionesEvaluadas13[[#This Row],[Desocupa]],IF(RotacionesEvaluadas13[[#This Row],[Limpieza]],RotacionesEvaluadas13[[#This Row],[Limpieza]],HORA))</f>
        <v/>
      </c>
      <c r="K54" s="30"/>
      <c r="L54" s="36"/>
      <c r="O54" s="73"/>
      <c r="R54" s="74" t="s">
        <v>79</v>
      </c>
      <c r="S54" s="75" t="s">
        <v>9</v>
      </c>
      <c r="T54" s="76" t="s">
        <v>10</v>
      </c>
      <c r="U54" s="77" t="s">
        <v>11</v>
      </c>
      <c r="V54" s="178"/>
      <c r="W54" s="179"/>
    </row>
    <row r="55" spans="2:23" ht="18" customHeight="1">
      <c r="B55" s="30"/>
      <c r="C55" s="27"/>
      <c r="D55" s="28"/>
      <c r="E55" s="27"/>
      <c r="F55" s="29" t="str">
        <f>TiempoTotal(RotacionesEvaluadas13[[#This Row],[Ocupada]],IF(RotacionesEvaluadas13[[#This Row],[Primera Atención]],RotacionesEvaluadas13[[#This Row],[Primera Atención]],HORA))</f>
        <v/>
      </c>
      <c r="G55" s="27"/>
      <c r="H55" s="28"/>
      <c r="I55" s="27"/>
      <c r="J55" s="29" t="str">
        <f>TiempoTotal(RotacionesEvaluadas13[[#This Row],[Desocupa]],IF(RotacionesEvaluadas13[[#This Row],[Limpieza]],RotacionesEvaluadas13[[#This Row],[Limpieza]],HORA))</f>
        <v/>
      </c>
      <c r="K55" s="30"/>
      <c r="L55" s="38"/>
      <c r="R55" s="78"/>
      <c r="S55" s="27"/>
      <c r="T55" s="27"/>
      <c r="U55" s="79" t="str">
        <f>TiempoTotal(ToquesMeseros19[[#This Row],[Inicio]],ToquesMeseros19[[#This Row],[Finalizo]])</f>
        <v/>
      </c>
      <c r="V55" s="57"/>
      <c r="W55" s="58"/>
    </row>
    <row r="56" spans="2:23" ht="18" customHeight="1">
      <c r="B56" s="30"/>
      <c r="C56" s="27"/>
      <c r="D56" s="28"/>
      <c r="E56" s="27"/>
      <c r="F56" s="29" t="str">
        <f>TiempoTotal(RotacionesEvaluadas13[[#This Row],[Ocupada]],IF(RotacionesEvaluadas13[[#This Row],[Primera Atención]],RotacionesEvaluadas13[[#This Row],[Primera Atención]],HORA))</f>
        <v/>
      </c>
      <c r="G56" s="27"/>
      <c r="H56" s="28"/>
      <c r="I56" s="27"/>
      <c r="J56" s="29" t="str">
        <f>TiempoTotal(RotacionesEvaluadas13[[#This Row],[Desocupa]],IF(RotacionesEvaluadas13[[#This Row],[Limpieza]],RotacionesEvaluadas13[[#This Row],[Limpieza]],HORA))</f>
        <v/>
      </c>
      <c r="K56" s="30"/>
      <c r="L56" s="59"/>
      <c r="R56" s="78"/>
      <c r="S56" s="27"/>
      <c r="T56" s="27"/>
      <c r="U56" s="80" t="str">
        <f>TiempoTotal(ToquesMeseros19[[#This Row],[Inicio]],ToquesMeseros19[[#This Row],[Finalizo]])</f>
        <v/>
      </c>
      <c r="V56" s="62"/>
      <c r="W56" s="63"/>
    </row>
    <row r="57" spans="2:23" ht="18" customHeight="1" thickBot="1">
      <c r="B57" s="30"/>
      <c r="C57" s="27"/>
      <c r="D57" s="28"/>
      <c r="E57" s="27"/>
      <c r="F57" s="29" t="str">
        <f>TiempoTotal(RotacionesEvaluadas13[[#This Row],[Ocupada]],IF(RotacionesEvaluadas13[[#This Row],[Primera Atención]],RotacionesEvaluadas13[[#This Row],[Primera Atención]],HORA))</f>
        <v/>
      </c>
      <c r="G57" s="27"/>
      <c r="H57" s="28"/>
      <c r="I57" s="27"/>
      <c r="J57" s="29" t="str">
        <f>TiempoTotal(RotacionesEvaluadas13[[#This Row],[Desocupa]],IF(RotacionesEvaluadas13[[#This Row],[Limpieza]],RotacionesEvaluadas13[[#This Row],[Limpieza]],HORA))</f>
        <v/>
      </c>
      <c r="K57" s="30"/>
      <c r="L57" s="81"/>
      <c r="R57" s="78"/>
      <c r="S57" s="27"/>
      <c r="T57" s="27"/>
      <c r="U57" s="80" t="str">
        <f>TiempoTotal(ToquesMeseros19[[#This Row],[Inicio]],ToquesMeseros19[[#This Row],[Finalizo]])</f>
        <v/>
      </c>
      <c r="V57" s="62"/>
      <c r="W57" s="63"/>
    </row>
    <row r="58" spans="2:23" ht="18" customHeight="1">
      <c r="R58" s="78"/>
      <c r="S58" s="27"/>
      <c r="T58" s="27"/>
      <c r="U58" s="80" t="str">
        <f>TiempoTotal(ToquesMeseros19[[#This Row],[Inicio]],ToquesMeseros19[[#This Row],[Finalizo]])</f>
        <v/>
      </c>
      <c r="V58" s="62"/>
      <c r="W58" s="63"/>
    </row>
    <row r="59" spans="2:23" ht="18" customHeight="1">
      <c r="R59" s="78"/>
      <c r="S59" s="27"/>
      <c r="T59" s="27"/>
      <c r="U59" s="80" t="str">
        <f>TiempoTotal(ToquesMeseros19[[#This Row],[Inicio]],ToquesMeseros19[[#This Row],[Finalizo]])</f>
        <v/>
      </c>
      <c r="V59" s="62"/>
      <c r="W59" s="63"/>
    </row>
    <row r="60" spans="2:23" ht="18" customHeight="1">
      <c r="R60" s="78"/>
      <c r="S60" s="27"/>
      <c r="T60" s="27"/>
      <c r="U60" s="80" t="str">
        <f>TiempoTotal(ToquesMeseros19[[#This Row],[Inicio]],ToquesMeseros19[[#This Row],[Finalizo]])</f>
        <v/>
      </c>
      <c r="V60" s="62"/>
      <c r="W60" s="63"/>
    </row>
    <row r="61" spans="2:23" ht="18" customHeight="1">
      <c r="R61" s="78"/>
      <c r="S61" s="27"/>
      <c r="T61" s="27"/>
      <c r="U61" s="80" t="str">
        <f>TiempoTotal(ToquesMeseros19[[#This Row],[Inicio]],ToquesMeseros19[[#This Row],[Finalizo]])</f>
        <v/>
      </c>
      <c r="V61" s="62"/>
      <c r="W61" s="63"/>
    </row>
    <row r="62" spans="2:23" ht="18" customHeight="1">
      <c r="R62" s="78"/>
      <c r="S62" s="27"/>
      <c r="T62" s="27"/>
      <c r="U62" s="80" t="str">
        <f>TiempoTotal(ToquesMeseros19[[#This Row],[Inicio]],ToquesMeseros19[[#This Row],[Finalizo]])</f>
        <v/>
      </c>
      <c r="V62" s="62"/>
      <c r="W62" s="63"/>
    </row>
    <row r="63" spans="2:23" ht="18" customHeight="1">
      <c r="R63" s="78"/>
      <c r="S63" s="27"/>
      <c r="T63" s="27"/>
      <c r="U63" s="80" t="str">
        <f>TiempoTotal(ToquesMeseros19[[#This Row],[Inicio]],ToquesMeseros19[[#This Row],[Finalizo]])</f>
        <v/>
      </c>
      <c r="V63" s="62"/>
      <c r="W63" s="63"/>
    </row>
    <row r="64" spans="2:23" ht="18" customHeight="1">
      <c r="R64" s="78"/>
      <c r="S64" s="27"/>
      <c r="T64" s="27"/>
      <c r="U64" s="80" t="str">
        <f>TiempoTotal(ToquesMeseros19[[#This Row],[Inicio]],ToquesMeseros19[[#This Row],[Finalizo]])</f>
        <v/>
      </c>
      <c r="V64" s="161"/>
      <c r="W64" s="162"/>
    </row>
    <row r="65" spans="18:23" ht="18" customHeight="1">
      <c r="R65" s="78"/>
      <c r="S65" s="27"/>
      <c r="T65" s="27"/>
      <c r="U65" s="80" t="str">
        <f>TiempoTotal(ToquesMeseros19[[#This Row],[Inicio]],ToquesMeseros19[[#This Row],[Finalizo]])</f>
        <v/>
      </c>
      <c r="V65" s="62"/>
      <c r="W65" s="63"/>
    </row>
    <row r="66" spans="18:23" ht="18" customHeight="1">
      <c r="R66" s="78"/>
      <c r="S66" s="27"/>
      <c r="T66" s="27"/>
      <c r="U66" s="80" t="str">
        <f>TiempoTotal(ToquesMeseros19[[#This Row],[Inicio]],ToquesMeseros19[[#This Row],[Finalizo]])</f>
        <v/>
      </c>
      <c r="V66" s="62"/>
      <c r="W66" s="63"/>
    </row>
    <row r="67" spans="18:23" ht="18" customHeight="1">
      <c r="R67" s="78"/>
      <c r="S67" s="27"/>
      <c r="T67" s="27"/>
      <c r="U67" s="80" t="str">
        <f>TiempoTotal(ToquesMeseros19[[#This Row],[Inicio]],ToquesMeseros19[[#This Row],[Finalizo]])</f>
        <v/>
      </c>
      <c r="V67" s="62"/>
      <c r="W67" s="63"/>
    </row>
    <row r="68" spans="18:23" ht="18" customHeight="1">
      <c r="R68" s="78"/>
      <c r="S68" s="27"/>
      <c r="T68" s="27"/>
      <c r="U68" s="80" t="str">
        <f>TiempoTotal(ToquesMeseros19[[#This Row],[Inicio]],ToquesMeseros19[[#This Row],[Finalizo]])</f>
        <v/>
      </c>
      <c r="V68" s="62"/>
      <c r="W68" s="63"/>
    </row>
    <row r="69" spans="18:23" ht="18" customHeight="1" thickBot="1">
      <c r="R69" s="82"/>
      <c r="S69" s="83"/>
      <c r="T69" s="83"/>
      <c r="U69" s="84" t="str">
        <f>TiempoTotal(ToquesMeseros19[[#This Row],[Inicio]],ToquesMeseros19[[#This Row],[Finalizo]])</f>
        <v/>
      </c>
      <c r="V69" s="71"/>
      <c r="W69" s="72"/>
    </row>
  </sheetData>
  <sheetProtection algorithmName="SHA-512" hashValue="/GOR3GzLeM1TmZH4vJJchU7dm7s/TKUEvsdBCIty1MhFRZtWFDHpyq/eRmy0b3V4R5pVwgjWCxOCN6ZKPstQXA==" saltValue="vC/+XRWISPBXVRnTHRscxQ==" spinCount="100000" sheet="1" formatCells="0" formatColumns="0" formatRows="0"/>
  <mergeCells count="9">
    <mergeCell ref="V64:W64"/>
    <mergeCell ref="R53:U53"/>
    <mergeCell ref="B1:K1"/>
    <mergeCell ref="L1:L2"/>
    <mergeCell ref="W1:W2"/>
    <mergeCell ref="P35:U35"/>
    <mergeCell ref="N1:V1"/>
    <mergeCell ref="V53:W54"/>
    <mergeCell ref="V35:W36"/>
  </mergeCells>
  <phoneticPr fontId="3" type="noConversion"/>
  <conditionalFormatting sqref="O38">
    <cfRule type="cellIs" dxfId="96" priority="32" operator="equal">
      <formula>"LLenar"</formula>
    </cfRule>
  </conditionalFormatting>
  <conditionalFormatting sqref="E28">
    <cfRule type="duplicateValues" dxfId="95" priority="29"/>
  </conditionalFormatting>
  <conditionalFormatting sqref="B17:B19">
    <cfRule type="duplicateValues" dxfId="94" priority="26"/>
  </conditionalFormatting>
  <conditionalFormatting sqref="C21">
    <cfRule type="duplicateValues" dxfId="93" priority="25"/>
  </conditionalFormatting>
  <conditionalFormatting sqref="B21">
    <cfRule type="duplicateValues" dxfId="92" priority="24"/>
  </conditionalFormatting>
  <conditionalFormatting sqref="B20 B48:C57 C40:C46 B22:C39 B47">
    <cfRule type="duplicateValues" dxfId="91" priority="38"/>
  </conditionalFormatting>
  <conditionalFormatting sqref="C3 C10:C20">
    <cfRule type="duplicateValues" dxfId="90" priority="15"/>
  </conditionalFormatting>
  <conditionalFormatting sqref="S38:S39">
    <cfRule type="duplicateValues" dxfId="89" priority="11"/>
  </conditionalFormatting>
  <conditionalFormatting sqref="B7:B8">
    <cfRule type="duplicateValues" dxfId="88" priority="3"/>
  </conditionalFormatting>
  <conditionalFormatting sqref="B9">
    <cfRule type="duplicateValues" dxfId="87" priority="4"/>
  </conditionalFormatting>
  <conditionalFormatting sqref="C6:C9">
    <cfRule type="duplicateValues" dxfId="86" priority="5"/>
  </conditionalFormatting>
  <conditionalFormatting sqref="T38">
    <cfRule type="duplicateValues" dxfId="85" priority="2"/>
  </conditionalFormatting>
  <conditionalFormatting sqref="T39">
    <cfRule type="duplicateValues" dxfId="84" priority="1"/>
  </conditionalFormatting>
  <dataValidations count="6">
    <dataValidation type="list" allowBlank="1" showInputMessage="1" showErrorMessage="1" sqref="H3:H12 H14:H57" xr:uid="{00000000-0002-0000-0000-000001000000}">
      <formula1>INDIRECT("SN")</formula1>
    </dataValidation>
    <dataValidation type="list" allowBlank="1" showInputMessage="1" showErrorMessage="1" sqref="O39" xr:uid="{00000000-0002-0000-0000-000003000000}">
      <formula1>"RF25, RF58, RFD,RFML,RFMM, Bucare, BH, BO, BW, BG58, Brickell P, Coconut, Wynwood,"</formula1>
    </dataValidation>
    <dataValidation type="list" allowBlank="1" showInputMessage="1" showErrorMessage="1" sqref="Q37:Q51" xr:uid="{00000000-0002-0000-0000-000000000000}">
      <formula1>"PT, OT"</formula1>
    </dataValidation>
    <dataValidation type="list" allowBlank="1" showInputMessage="1" showErrorMessage="1" sqref="R37:R51" xr:uid="{00000000-0002-0000-0000-000004000000}">
      <formula1>"G1, G2, G3, G4, G5,G6, A1, A2, A3, A4"</formula1>
    </dataValidation>
    <dataValidation type="list" allowBlank="1" showInputMessage="1" showErrorMessage="1" sqref="D9:D57 D3 D5:D7" xr:uid="{00000000-0002-0000-0000-000002000000}">
      <formula1>"SI, NO"</formula1>
    </dataValidation>
    <dataValidation type="list" allowBlank="1" showInputMessage="1" showErrorMessage="1" sqref="O3:O32" xr:uid="{00000000-0002-0000-0000-000005000000}">
      <formula1>"APPETIZER,ENTREE,DESSER,SALAD,ENTRADA 6, ENTRADA 7, ENTRADA 8, ENTRADA 9,PF, POSTRE, DRINKS,DRINKS BAR,TAKE OUT,PICK UP,UBER EATS,DOORDASH"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5" operator="greaterThan" id="{BF451D22-7620-4F86-B732-127F4FCB7441}">
            <xm:f>'\Users\Andreina\Documents\amazonas\formato\[FORMATO 3.2.xlsm]Origen'!#REF!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F3:F57</xm:sqref>
        </x14:conditionalFormatting>
        <x14:conditionalFormatting xmlns:xm="http://schemas.microsoft.com/office/excel/2006/main">
          <x14:cfRule type="cellIs" priority="34" operator="greaterThan" id="{C9830821-A261-4933-AD55-224AE16D96A0}">
            <xm:f>'\Users\Andreina\Documents\amazonas\formato\[FORMATO 3.2.xlsm]Origen'!#REF!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J3:J57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2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baseColWidth="10" defaultColWidth="0" defaultRowHeight="15"/>
  <cols>
    <col min="1" max="1" width="12.28515625" customWidth="1"/>
    <col min="2" max="2" width="13.7109375" style="11" customWidth="1"/>
    <col min="3" max="7" width="13.7109375" customWidth="1"/>
    <col min="8" max="8" width="13.85546875" customWidth="1"/>
    <col min="9" max="11" width="13.7109375" customWidth="1"/>
    <col min="12" max="12" width="20.28515625" style="13" customWidth="1"/>
    <col min="13" max="16" width="13.7109375" customWidth="1"/>
    <col min="17" max="17" width="15.140625" customWidth="1"/>
    <col min="18" max="18" width="19.28515625" customWidth="1"/>
    <col min="19" max="19" width="15.5703125" customWidth="1"/>
    <col min="20" max="23" width="13.7109375" customWidth="1"/>
    <col min="24" max="24" width="15" customWidth="1"/>
    <col min="25" max="25" width="20.28515625" customWidth="1"/>
    <col min="26" max="26" width="13.7109375" customWidth="1"/>
    <col min="27" max="29" width="11.42578125" customWidth="1"/>
    <col min="30" max="16384" width="11.42578125" hidden="1"/>
  </cols>
  <sheetData>
    <row r="1" spans="2:28" s="1" customFormat="1" ht="15.75" thickBot="1">
      <c r="B1" s="10" t="s">
        <v>2</v>
      </c>
      <c r="C1" s="2" t="s">
        <v>3</v>
      </c>
      <c r="D1" s="2" t="s">
        <v>29</v>
      </c>
      <c r="E1" s="2" t="s">
        <v>36</v>
      </c>
      <c r="F1" s="2" t="s">
        <v>34</v>
      </c>
      <c r="G1" s="2" t="s">
        <v>4</v>
      </c>
      <c r="H1" s="2" t="s">
        <v>37</v>
      </c>
      <c r="I1" s="2" t="s">
        <v>5</v>
      </c>
      <c r="J1" s="3" t="s">
        <v>35</v>
      </c>
      <c r="K1" s="12" t="s">
        <v>1</v>
      </c>
      <c r="L1" s="17" t="s">
        <v>54</v>
      </c>
      <c r="M1" s="4" t="s">
        <v>38</v>
      </c>
      <c r="N1" s="4" t="s">
        <v>40</v>
      </c>
      <c r="O1" s="4" t="s">
        <v>39</v>
      </c>
      <c r="P1" s="4" t="s">
        <v>41</v>
      </c>
      <c r="Q1" s="4" t="s">
        <v>42</v>
      </c>
      <c r="R1" s="18" t="s">
        <v>46</v>
      </c>
      <c r="S1" s="5" t="s">
        <v>33</v>
      </c>
      <c r="T1" s="16" t="s">
        <v>14</v>
      </c>
      <c r="U1" s="6" t="s">
        <v>8</v>
      </c>
      <c r="V1" s="6" t="s">
        <v>17</v>
      </c>
      <c r="W1" s="6" t="s">
        <v>18</v>
      </c>
      <c r="X1" s="7" t="s">
        <v>13</v>
      </c>
      <c r="Y1" s="8" t="s">
        <v>15</v>
      </c>
      <c r="Z1" s="8" t="s">
        <v>16</v>
      </c>
      <c r="AA1" s="9" t="s">
        <v>12</v>
      </c>
      <c r="AB1" s="14" t="s">
        <v>25</v>
      </c>
    </row>
    <row r="2" spans="2:28" ht="18">
      <c r="B2" s="107"/>
      <c r="C2" s="100"/>
      <c r="D2" s="107"/>
      <c r="E2" s="100"/>
      <c r="F2" s="101" t="str">
        <f>TiempoTotal(DtAtenClient[[#This Row],[Ocupada]],DtAtenClient[[#This Row],[Atencion]])</f>
        <v/>
      </c>
      <c r="G2" s="100"/>
      <c r="H2" s="102"/>
      <c r="I2" s="100"/>
      <c r="J2" s="101" t="str">
        <f>TiempoTotal(DtAtenClient[[#This Row],[Desocupa]],DtAtenClient[[#This Row],[Limpieza]])</f>
        <v/>
      </c>
      <c r="K2" s="107"/>
      <c r="L2" s="103"/>
      <c r="M2" s="103"/>
      <c r="N2" s="103"/>
      <c r="O2" s="103"/>
      <c r="P2" s="103"/>
      <c r="Q2" s="103" t="str">
        <f>TiempoTotal(DtAtenClient[[#This Row],[Orden]],DtAtenClient[[#This Row],[Tablet]])</f>
        <v/>
      </c>
      <c r="R2" s="103" t="str">
        <f>TiempoTotal(DtAtenClient[[#This Row],[Cocina]],DtAtenClient[[#This Row],[Entrega]])</f>
        <v/>
      </c>
      <c r="S2" s="103" t="str">
        <f>TiempoTotal(DtAtenClient[[#This Row],[Orden]],DtAtenClient[[#This Row],[Entrega]])</f>
        <v/>
      </c>
      <c r="T2" s="108"/>
      <c r="U2" s="108"/>
      <c r="V2" s="105"/>
      <c r="W2" s="105"/>
      <c r="X2" s="106" t="str">
        <f>TiempoTotal(DtAtenClient[[#This Row],[InicioTG]],DtAtenClient[[#This Row],[FinalizoTG]])</f>
        <v/>
      </c>
      <c r="Y2" s="103"/>
      <c r="Z2" s="103"/>
      <c r="AA2" s="104" t="str">
        <f>TiempoTotal(DtAtenClient[[#This Row],[InicioTM]],DtAtenClient[[#This Row],[FinalizoTM]])</f>
        <v/>
      </c>
      <c r="AB2" s="109"/>
    </row>
  </sheetData>
  <sheetProtection formatCells="0" formatColumns="0" formatRows="0" insertColumns="0" insertRows="0" deleteColumns="0" deleteRows="0" sort="0"/>
  <phoneticPr fontId="3" type="noConversion"/>
  <pageMargins left="0.70866141732283472" right="0.70866141732283472" top="0.74803149606299213" bottom="0.74803149606299213" header="0.31496062992125984" footer="0.31496062992125984"/>
  <pageSetup orientation="portrait" cellComments="asDisplayed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XEU23"/>
  <sheetViews>
    <sheetView showGridLines="0" zoomScale="85" zoomScaleNormal="85" workbookViewId="0">
      <selection activeCell="H17" sqref="H17"/>
    </sheetView>
  </sheetViews>
  <sheetFormatPr baseColWidth="10" defaultColWidth="0" defaultRowHeight="20.100000000000001" customHeight="1" zeroHeight="1"/>
  <cols>
    <col min="1" max="1" width="4.140625" style="112" customWidth="1"/>
    <col min="2" max="2" width="35.140625" style="112" bestFit="1" customWidth="1"/>
    <col min="3" max="3" width="7.7109375" style="112" customWidth="1"/>
    <col min="4" max="4" width="29" style="112" bestFit="1" customWidth="1"/>
    <col min="5" max="5" width="13.28515625" style="112" bestFit="1" customWidth="1"/>
    <col min="6" max="6" width="2.28515625" style="112" customWidth="1"/>
    <col min="7" max="7" width="5.28515625" style="112" bestFit="1" customWidth="1"/>
    <col min="8" max="8" width="6.85546875" style="112" customWidth="1"/>
    <col min="9" max="9" width="13.28515625" style="112" customWidth="1"/>
    <col min="10" max="10" width="4.140625" style="112" customWidth="1"/>
    <col min="11" max="11" width="19" style="112" bestFit="1" customWidth="1"/>
    <col min="12" max="12" width="7.7109375" style="112" customWidth="1"/>
    <col min="13" max="13" width="7.42578125" style="112" bestFit="1" customWidth="1"/>
    <col min="14" max="14" width="13.28515625" style="112" bestFit="1" customWidth="1"/>
    <col min="15" max="15" width="21.85546875" style="112" bestFit="1" customWidth="1"/>
    <col min="16" max="16" width="2.42578125" style="112" customWidth="1"/>
    <col min="17" max="17" width="2.42578125" style="112" hidden="1" customWidth="1"/>
    <col min="18" max="18" width="2.42578125" style="112" hidden="1"/>
    <col min="19" max="19" width="9.85546875" style="112" hidden="1"/>
    <col min="20" max="20" width="2.42578125" style="112" hidden="1"/>
    <col min="21" max="21" width="3" style="112" hidden="1"/>
    <col min="22" max="22" width="2.42578125" style="112" hidden="1"/>
    <col min="23" max="23" width="9.42578125" style="112" hidden="1"/>
    <col min="24" max="25" width="2.42578125" style="112" hidden="1"/>
    <col min="26" max="26" width="21" style="112" hidden="1"/>
    <col min="27" max="16375" width="2.42578125" style="112" hidden="1"/>
    <col min="16376" max="16384" width="1" style="112" hidden="1"/>
  </cols>
  <sheetData>
    <row r="1" spans="1:16" ht="20.100000000000001" customHeight="1" thickBot="1">
      <c r="A1" s="110"/>
      <c r="B1" s="111"/>
      <c r="C1" s="111"/>
      <c r="D1" s="111"/>
      <c r="E1" s="111"/>
      <c r="F1" s="110"/>
      <c r="G1" s="110"/>
      <c r="H1" s="110"/>
      <c r="I1" s="110"/>
      <c r="J1" s="110"/>
      <c r="K1" s="111"/>
      <c r="L1" s="111"/>
      <c r="M1" s="110"/>
      <c r="N1" s="111"/>
      <c r="O1" s="111"/>
      <c r="P1" s="110"/>
    </row>
    <row r="2" spans="1:16" ht="20.100000000000001" customHeight="1">
      <c r="A2" s="113"/>
      <c r="B2" s="114" t="s">
        <v>24</v>
      </c>
      <c r="C2" s="115">
        <f>COUNTIFS(DtAtenClient[Ocupada], "&gt;0", DtAtenClient[Mesa], "&lt;&gt;", DtAtenClient[Mesa], "&lt;&gt;*B*")
+ COUNTIFS(RotacionesEvaluadas13[Ocupada], "&gt;0", RotacionesEvaluadas13[Mesa], "&lt;&gt;", RotacionesEvaluadas13[Mesa], "&lt;&gt;*B*")</f>
        <v>0</v>
      </c>
      <c r="D2" s="190" t="s">
        <v>61</v>
      </c>
      <c r="E2" s="192">
        <f>SUM(C2:C3)</f>
        <v>0</v>
      </c>
      <c r="F2" s="116"/>
      <c r="G2" s="116"/>
      <c r="H2" s="116"/>
      <c r="I2" s="116"/>
      <c r="J2" s="113"/>
      <c r="K2" s="114" t="s">
        <v>21</v>
      </c>
      <c r="L2" s="115">
        <f>+COUNTIF(ProcesosEvaluados14[Tipo De Plato], "entrada*")+COUNTIFS(DtAtenClient[Proceso],"entrada*")</f>
        <v>0</v>
      </c>
      <c r="M2" s="117" t="s">
        <v>73</v>
      </c>
      <c r="N2" s="118" t="str">
        <f>IFERROR(AVERAGEIFS(DtAtenClient[DemoraTotal],DtAtenClient[Proceso],"entrada*",DtAtenClient[DemoraTotal],"&gt;00:00:00"),"N/A")</f>
        <v>N/A</v>
      </c>
      <c r="O2" s="184" t="s">
        <v>55</v>
      </c>
      <c r="P2" s="119"/>
    </row>
    <row r="3" spans="1:16" ht="20.100000000000001" customHeight="1" thickBot="1">
      <c r="A3" s="113"/>
      <c r="B3" s="120" t="s">
        <v>60</v>
      </c>
      <c r="C3" s="121">
        <f>COUNTIFS(DtAtenClient[Mesa],"b*",DtAtenClient[Ocupada],"&gt;00:00:00")+COUNTIFS(RotacionesEvaluadas13[Mesa],"b*",RotacionesEvaluadas13[Ocupada],"&gt;00:00:00")</f>
        <v>0</v>
      </c>
      <c r="D3" s="191"/>
      <c r="E3" s="193"/>
      <c r="F3" s="116"/>
      <c r="G3" s="116"/>
      <c r="H3" s="116"/>
      <c r="I3" s="116"/>
      <c r="J3" s="122"/>
      <c r="K3" s="123" t="s">
        <v>22</v>
      </c>
      <c r="L3" s="124">
        <f>+COUNTIF(ProcesosEvaluados14[Tipo De Plato], "pf")+COUNTIFS(DtAtenClient[Proceso],"pf*")</f>
        <v>0</v>
      </c>
      <c r="M3" s="117" t="s">
        <v>73</v>
      </c>
      <c r="N3" s="125" t="str">
        <f>IFERROR(AVERAGEIFS(DtAtenClient[DemoraTotal],DtAtenClient[Proceso],"pf",DtAtenClient[DemoraTotal],"&gt;00:00:00"),"N/A")</f>
        <v>N/A</v>
      </c>
      <c r="O3" s="185"/>
      <c r="P3" s="119"/>
    </row>
    <row r="4" spans="1:16" ht="20.100000000000001" customHeight="1" thickBot="1">
      <c r="A4" s="110"/>
      <c r="B4" s="126"/>
      <c r="C4" s="126"/>
      <c r="D4" s="126"/>
      <c r="E4" s="126"/>
      <c r="F4" s="110"/>
      <c r="G4" s="111"/>
      <c r="H4" s="111"/>
      <c r="I4" s="111"/>
      <c r="J4" s="113"/>
      <c r="K4" s="123" t="s">
        <v>23</v>
      </c>
      <c r="L4" s="124">
        <f>+COUNTIF(ProcesosEvaluados14[Tipo De Plato], "postre")+COUNTIFS(DtAtenClient[Proceso],"postre*")</f>
        <v>0</v>
      </c>
      <c r="M4" s="117" t="s">
        <v>73</v>
      </c>
      <c r="N4" s="125" t="str">
        <f>IFERROR(AVERAGEIFS(DtAtenClient[DemoraTotal],DtAtenClient[Proceso],"postre",DtAtenClient[DemoraTotal],"&gt;00:00:00"),"N/A")</f>
        <v>N/A</v>
      </c>
      <c r="O4" s="185"/>
      <c r="P4" s="119"/>
    </row>
    <row r="5" spans="1:16" ht="20.100000000000001" customHeight="1">
      <c r="A5" s="113"/>
      <c r="B5" s="187" t="s">
        <v>67</v>
      </c>
      <c r="C5" s="194" t="s">
        <v>47</v>
      </c>
      <c r="D5" s="127" t="s">
        <v>62</v>
      </c>
      <c r="E5" s="115">
        <f>COUNTIFS(DtAtenClient[Gerente],$C$5,DtAtenClient[Toque],D5,DtAtenClient[InicioTG],"&gt;00:00:00")+COUNTIFS(ToquesGerentes15[Gerente],$C$5,ToquesGerentes15[Toque],D5)</f>
        <v>0</v>
      </c>
      <c r="G5" s="187" t="s">
        <v>50</v>
      </c>
      <c r="H5" s="127" t="s">
        <v>62</v>
      </c>
      <c r="I5" s="115">
        <f>COUNTIFS(DtAtenClient[Gerente],$G$5,DtAtenClient[Toque],H5,DtAtenClient[InicioTG],"&gt;00:00:00")+COUNTIFS(ToquesGerentes15[Gerente],$G$5,ToquesGerentes15[Toque],H5)</f>
        <v>0</v>
      </c>
      <c r="J5" s="122"/>
      <c r="K5" s="123" t="s">
        <v>96</v>
      </c>
      <c r="L5" s="124">
        <f>+COUNTIF(ProcesosEvaluados14[Tipo De Plato], "drinks")+COUNTIFS(DtAtenClient[Proceso],"drinks")</f>
        <v>0</v>
      </c>
      <c r="M5" s="117" t="s">
        <v>73</v>
      </c>
      <c r="N5" s="125" t="str">
        <f>IFERROR(AVERAGEIFS(DtAtenClient[DemoraTotal],DtAtenClient[Proceso],"DRINKS",DtAtenClient[DemoraTotal],"&gt;00:00:00"),"N/A")</f>
        <v>N/A</v>
      </c>
      <c r="O5" s="185"/>
      <c r="P5" s="119"/>
    </row>
    <row r="6" spans="1:16" ht="20.100000000000001" customHeight="1">
      <c r="A6" s="113"/>
      <c r="B6" s="188"/>
      <c r="C6" s="195"/>
      <c r="D6" s="128" t="s">
        <v>63</v>
      </c>
      <c r="E6" s="124">
        <f>COUNTIFS(DtAtenClient[Gerente],$C$5,DtAtenClient[Toque],D6,DtAtenClient[InicioTG],"&gt;00:00:00")+COUNTIFS(ToquesGerentes15[Gerente],$C$5,ToquesGerentes15[Toque],D6)</f>
        <v>0</v>
      </c>
      <c r="G6" s="188"/>
      <c r="H6" s="128" t="s">
        <v>63</v>
      </c>
      <c r="I6" s="124">
        <f>COUNTIFS(DtAtenClient[Gerente],$G$5,DtAtenClient[Toque],H6,DtAtenClient[InicioTG],"&gt;00:00:00")+COUNTIFS(ToquesGerentes15[Gerente],$G$5,ToquesGerentes15[Toque],H6)</f>
        <v>0</v>
      </c>
      <c r="J6" s="122"/>
      <c r="K6" s="123" t="s">
        <v>77</v>
      </c>
      <c r="L6" s="124">
        <f>+COUNTIF(ProcesosEvaluados14[Tipo De Plato], "TAKE OUT")+COUNTIFS(DtAtenClient[Proceso],"TAKE OUT")</f>
        <v>0</v>
      </c>
      <c r="M6" s="117" t="s">
        <v>73</v>
      </c>
      <c r="N6" s="125" t="str">
        <f>IFERROR(AVERAGEIFS(DtAtenClient[DemoraTotal],DtAtenClient[Proceso],"TAKE OUT",DtAtenClient[DemoraTotal],"&gt;00:00:00"),"N/A")</f>
        <v>N/A</v>
      </c>
      <c r="O6" s="185"/>
      <c r="P6" s="119"/>
    </row>
    <row r="7" spans="1:16" ht="20.100000000000001" customHeight="1" thickBot="1">
      <c r="A7" s="113"/>
      <c r="B7" s="188"/>
      <c r="C7" s="195" t="s">
        <v>48</v>
      </c>
      <c r="D7" s="128" t="s">
        <v>62</v>
      </c>
      <c r="E7" s="124">
        <f>COUNTIFS(DtAtenClient[Gerente],$C$7,DtAtenClient[Toque],D7,DtAtenClient[InicioTG],"&gt;00:00:00")+COUNTIFS(ToquesGerentes15[Gerente],$C$7,ToquesGerentes15[Toque],D7)</f>
        <v>0</v>
      </c>
      <c r="G7" s="188" t="s">
        <v>51</v>
      </c>
      <c r="H7" s="128" t="s">
        <v>62</v>
      </c>
      <c r="I7" s="124">
        <f>COUNTIFS(DtAtenClient[Gerente],$G$7,DtAtenClient[Toque],H7,DtAtenClient[InicioTG],"&gt;00:00:00")+COUNTIFS(ToquesGerentes15[Gerente],$G$7,ToquesGerentes15[Toque],H7)</f>
        <v>0</v>
      </c>
      <c r="J7" s="122"/>
      <c r="K7" s="129" t="s">
        <v>78</v>
      </c>
      <c r="L7" s="130">
        <f>+COUNTIF(ProcesosEvaluados14[Tipo De Plato], "PICK UP")+COUNTIFS(DtAtenClient[Proceso],"PICK UP")</f>
        <v>0</v>
      </c>
      <c r="M7" s="117" t="s">
        <v>73</v>
      </c>
      <c r="N7" s="131" t="str">
        <f>IFERROR(AVERAGEIFS(DtAtenClient[DemoraTotal],DtAtenClient[Proceso],"PICK UP",DtAtenClient[DemoraTotal],"&gt;00:00:00"),"N/A")</f>
        <v>N/A</v>
      </c>
      <c r="O7" s="186"/>
      <c r="P7" s="119"/>
    </row>
    <row r="8" spans="1:16" ht="20.100000000000001" customHeight="1" thickBot="1">
      <c r="A8" s="113"/>
      <c r="B8" s="188"/>
      <c r="C8" s="195"/>
      <c r="D8" s="128" t="s">
        <v>63</v>
      </c>
      <c r="E8" s="124">
        <f>COUNTIFS(DtAtenClient[Gerente],$C$7,DtAtenClient[Toque],D8,DtAtenClient[InicioTG],"&gt;00:00:00")+COUNTIFS(ToquesGerentes15[Gerente],$C$7,ToquesGerentes15[Toque],D8)</f>
        <v>0</v>
      </c>
      <c r="G8" s="188"/>
      <c r="H8" s="128" t="s">
        <v>63</v>
      </c>
      <c r="I8" s="124">
        <f>COUNTIFS(DtAtenClient[Gerente],$G$7,DtAtenClient[Toque],H8,DtAtenClient[InicioTG],"&gt;00:00:00")+COUNTIFS(ToquesGerentes15[Gerente],$G$7,ToquesGerentes15[Toque],H8)</f>
        <v>0</v>
      </c>
      <c r="J8" s="122"/>
      <c r="K8" s="132" t="s">
        <v>72</v>
      </c>
      <c r="L8" s="133">
        <f>SUM(L2:L5)</f>
        <v>0</v>
      </c>
      <c r="P8" s="119"/>
    </row>
    <row r="9" spans="1:16" ht="20.100000000000001" customHeight="1">
      <c r="A9" s="113"/>
      <c r="B9" s="188"/>
      <c r="C9" s="195" t="s">
        <v>49</v>
      </c>
      <c r="D9" s="128" t="s">
        <v>62</v>
      </c>
      <c r="E9" s="124">
        <f>COUNTIFS(DtAtenClient[Gerente],$C$9,DtAtenClient[Toque],D9,DtAtenClient[InicioTG],"&gt;00:00:00")+COUNTIFS(ToquesGerentes15[Gerente],$C$9,ToquesGerentes15[Toque],D9)</f>
        <v>0</v>
      </c>
      <c r="F9" s="134"/>
      <c r="G9" s="188" t="s">
        <v>52</v>
      </c>
      <c r="H9" s="128" t="s">
        <v>62</v>
      </c>
      <c r="I9" s="124">
        <f>COUNTIFS(DtAtenClient[Gerente],$G$9,DtAtenClient[Toque],H9,DtAtenClient[InicioTG],"&gt;00:00:00")+COUNTIFS(ToquesGerentes15[Gerente],$G$9,ToquesGerentes15[Toque],H9)</f>
        <v>0</v>
      </c>
      <c r="J9" s="135"/>
      <c r="K9" s="159" t="s">
        <v>97</v>
      </c>
      <c r="L9" s="160">
        <v>2.2999999999999998</v>
      </c>
      <c r="M9" s="110"/>
      <c r="N9" s="111"/>
      <c r="O9" s="111"/>
      <c r="P9" s="119"/>
    </row>
    <row r="10" spans="1:16" ht="20.100000000000001" customHeight="1">
      <c r="A10" s="113"/>
      <c r="B10" s="188"/>
      <c r="C10" s="195"/>
      <c r="D10" s="128" t="s">
        <v>63</v>
      </c>
      <c r="E10" s="124">
        <f>COUNTIFS(DtAtenClient[Gerente],$C$9,DtAtenClient[Toque],D10,DtAtenClient[InicioTG],"&gt;00:00:00")+COUNTIFS(ToquesGerentes15[Gerente],$C$9,ToquesGerentes15[Toque],D10)</f>
        <v>0</v>
      </c>
      <c r="G10" s="188"/>
      <c r="H10" s="128" t="s">
        <v>63</v>
      </c>
      <c r="I10" s="124">
        <f>COUNTIFS(DtAtenClient[Gerente],$G$9,DtAtenClient[Toque],H10,DtAtenClient[InicioTG],"&gt;00:00:00")+COUNTIFS(ToquesGerentes15[Gerente],$G$9,ToquesGerentes15[Toque],H10)</f>
        <v>0</v>
      </c>
      <c r="J10" s="135"/>
    </row>
    <row r="11" spans="1:16" ht="20.100000000000001" customHeight="1">
      <c r="A11" s="113"/>
      <c r="B11" s="188"/>
      <c r="C11" s="195" t="s">
        <v>64</v>
      </c>
      <c r="D11" s="128" t="s">
        <v>62</v>
      </c>
      <c r="E11" s="124">
        <f>COUNTIFS(DtAtenClient[Gerente],$C$11,DtAtenClient[Toque],D11,DtAtenClient[InicioTG],"&gt;00:00:00")+COUNTIFS(ToquesGerentes15[Gerente],$C$11,ToquesGerentes15[Toque],D11)</f>
        <v>0</v>
      </c>
      <c r="G11" s="188" t="s">
        <v>53</v>
      </c>
      <c r="H11" s="128" t="s">
        <v>62</v>
      </c>
      <c r="I11" s="124">
        <f>COUNTIFS(DtAtenClient[Gerente],$G$11,DtAtenClient[Toque],H11,DtAtenClient[InicioTG],"&gt;00:00:00")+COUNTIFS(ToquesGerentes15[Gerente],$G$11,ToquesGerentes15[Toque],H11)</f>
        <v>0</v>
      </c>
      <c r="J11" s="135"/>
      <c r="K11" s="136"/>
    </row>
    <row r="12" spans="1:16" ht="20.100000000000001" customHeight="1" thickBot="1">
      <c r="A12" s="113"/>
      <c r="B12" s="188"/>
      <c r="C12" s="195"/>
      <c r="D12" s="128" t="s">
        <v>63</v>
      </c>
      <c r="E12" s="124">
        <f>COUNTIFS(DtAtenClient[Gerente],$C$11,DtAtenClient[Toque],D12,DtAtenClient[InicioTG],"&gt;00:00:00")+COUNTIFS(ToquesGerentes15[Gerente],$C$11,ToquesGerentes15[Toque],D12)</f>
        <v>0</v>
      </c>
      <c r="G12" s="189"/>
      <c r="H12" s="137" t="s">
        <v>63</v>
      </c>
      <c r="I12" s="121">
        <f>COUNTIFS(DtAtenClient[Gerente],$G$11,DtAtenClient[Toque],H12,DtAtenClient[InicioTG],"&gt;00:00:00")+COUNTIFS(ToquesGerentes15[Gerente],$G$11,ToquesGerentes15[Toque],H12)</f>
        <v>0</v>
      </c>
      <c r="J12" s="135"/>
    </row>
    <row r="13" spans="1:16" ht="20.100000000000001" customHeight="1">
      <c r="A13" s="113"/>
      <c r="B13" s="188"/>
      <c r="C13" s="195" t="s">
        <v>65</v>
      </c>
      <c r="D13" s="128" t="s">
        <v>62</v>
      </c>
      <c r="E13" s="124">
        <f>COUNTIFS(DtAtenClient[Gerente],$C$13,DtAtenClient[Toque],D13,DtAtenClient[InicioTG],"&gt;00:00:00")+COUNTIFS(ToquesGerentes15[Gerente],$C$13,ToquesGerentes15[Toque],D13)</f>
        <v>0</v>
      </c>
      <c r="J13" s="110"/>
    </row>
    <row r="14" spans="1:16" ht="20.100000000000001" customHeight="1">
      <c r="A14" s="113"/>
      <c r="B14" s="188"/>
      <c r="C14" s="195"/>
      <c r="D14" s="128" t="s">
        <v>63</v>
      </c>
      <c r="E14" s="124">
        <f>COUNTIFS(DtAtenClient[Gerente],$C$13,DtAtenClient[Toque],D14,DtAtenClient[InicioTG],"&gt;00:00:00")+COUNTIFS(ToquesGerentes15[Gerente],$C$13,ToquesGerentes15[Toque],D14)</f>
        <v>0</v>
      </c>
      <c r="J14" s="110"/>
    </row>
    <row r="15" spans="1:16" ht="20.100000000000001" customHeight="1">
      <c r="A15" s="113"/>
      <c r="B15" s="188"/>
      <c r="C15" s="195" t="s">
        <v>66</v>
      </c>
      <c r="D15" s="128" t="s">
        <v>62</v>
      </c>
      <c r="E15" s="124">
        <f>COUNTIFS(DtAtenClient[Gerente],$C$15,DtAtenClient[Toque],D15,DtAtenClient[InicioTG],"&gt;00:00:00")+COUNTIFS(ToquesGerentes15[Gerente],$C$15,ToquesGerentes15[Toque],D15)</f>
        <v>0</v>
      </c>
      <c r="J15" s="110"/>
    </row>
    <row r="16" spans="1:16" ht="20.100000000000001" customHeight="1" thickBot="1">
      <c r="A16" s="113"/>
      <c r="B16" s="189"/>
      <c r="C16" s="196"/>
      <c r="D16" s="137" t="s">
        <v>63</v>
      </c>
      <c r="E16" s="121">
        <f>COUNTIFS(DtAtenClient[Gerente],$C$15,DtAtenClient[Toque],D16,DtAtenClient[InicioTG],"&gt;00:00:00")+COUNTIFS(ToquesGerentes15[Gerente],$C$15,ToquesGerentes15[Toque],D16)</f>
        <v>0</v>
      </c>
      <c r="J16" s="110"/>
    </row>
    <row r="17" spans="1:10" ht="20.100000000000001" customHeight="1" thickBot="1">
      <c r="A17" s="110"/>
      <c r="B17" s="126"/>
      <c r="C17" s="126"/>
      <c r="D17" s="126"/>
      <c r="E17" s="126"/>
      <c r="F17" s="110"/>
      <c r="G17" s="110"/>
      <c r="H17" s="110"/>
      <c r="I17" s="110"/>
      <c r="J17" s="110"/>
    </row>
    <row r="18" spans="1:10" ht="37.5">
      <c r="A18" s="113"/>
      <c r="B18" s="114" t="s">
        <v>68</v>
      </c>
      <c r="C18" s="115">
        <f>COUNTIF(DtAtenClient[Espera],"&gt;00:03:00")</f>
        <v>0</v>
      </c>
      <c r="D18" s="138" t="s">
        <v>69</v>
      </c>
      <c r="E18" s="139" t="str">
        <f>IFERROR(AVERAGEIF(DtAtenClient[Espera],"&gt;00:00:00")," ")</f>
        <v xml:space="preserve"> </v>
      </c>
      <c r="F18" s="116"/>
      <c r="G18" s="116"/>
      <c r="H18" s="116"/>
      <c r="I18" s="116"/>
      <c r="J18" s="110"/>
    </row>
    <row r="19" spans="1:10" ht="38.25" thickBot="1">
      <c r="A19" s="113"/>
      <c r="B19" s="120" t="s">
        <v>70</v>
      </c>
      <c r="C19" s="121">
        <f>COUNTIF(DtAtenClient[Espera],"&gt;00:04:00")</f>
        <v>0</v>
      </c>
      <c r="D19" s="140" t="s">
        <v>71</v>
      </c>
      <c r="E19" s="141" t="str">
        <f>IFERROR(AVERAGEIF(DtAtenClient[Demora],"&gt;00:00:00")," ")</f>
        <v xml:space="preserve"> </v>
      </c>
      <c r="F19" s="116"/>
      <c r="G19" s="116"/>
      <c r="H19" s="116"/>
      <c r="I19" s="116"/>
      <c r="J19" s="110"/>
    </row>
    <row r="20" spans="1:10" ht="20.100000000000001" customHeight="1" thickBot="1">
      <c r="A20" s="110"/>
      <c r="B20" s="126"/>
      <c r="C20" s="126"/>
      <c r="D20" s="126"/>
      <c r="E20" s="126"/>
      <c r="F20" s="110"/>
      <c r="G20" s="110"/>
      <c r="H20" s="110"/>
      <c r="I20" s="110"/>
      <c r="J20" s="110"/>
    </row>
    <row r="21" spans="1:10" ht="37.5">
      <c r="A21" s="113"/>
      <c r="B21" s="114" t="s">
        <v>74</v>
      </c>
      <c r="C21" s="115">
        <f>COUNTIF(DtAtenClient[InicioTM],"&gt;00:00:00")</f>
        <v>0</v>
      </c>
      <c r="D21" s="180" t="s">
        <v>76</v>
      </c>
      <c r="E21" s="182" t="str">
        <f>IFERROR(AVERAGEIF(DtAtenClient[Duracion TM],"&gt;00:00:00",DtAtenClient[Duracion TM])," ")</f>
        <v xml:space="preserve"> </v>
      </c>
      <c r="F21" s="116"/>
      <c r="G21" s="116"/>
      <c r="H21" s="116"/>
      <c r="I21" s="116"/>
      <c r="J21" s="110"/>
    </row>
    <row r="22" spans="1:10" ht="38.25" thickBot="1">
      <c r="A22" s="113"/>
      <c r="B22" s="120" t="s">
        <v>75</v>
      </c>
      <c r="C22" s="121">
        <f>COUNTIF(DtAtenClient[Duracion TM],"&gt;00:02:00")</f>
        <v>0</v>
      </c>
      <c r="D22" s="181"/>
      <c r="E22" s="183"/>
      <c r="F22" s="116"/>
      <c r="G22" s="116"/>
      <c r="H22" s="116"/>
      <c r="I22" s="116"/>
      <c r="J22" s="110"/>
    </row>
    <row r="23" spans="1:10" ht="20.100000000000001" customHeight="1">
      <c r="A23" s="110"/>
      <c r="B23" s="142"/>
      <c r="C23" s="142"/>
      <c r="D23" s="142"/>
      <c r="E23" s="142"/>
      <c r="F23" s="110"/>
      <c r="G23" s="110"/>
      <c r="H23" s="110"/>
      <c r="I23" s="110"/>
      <c r="J23" s="110"/>
    </row>
  </sheetData>
  <sheetProtection algorithmName="SHA-512" hashValue="sv2KdQv79ut3LcfVJNFAc6FyWqmQvqIpcuiK3f8hRbnZ0VHkTgzEU6Wg0AwhJwmGXQhxAd0ee7VeSJhQrpZCcQ==" saltValue="hDYawnyZ0XecxKDk4Sffsg==" spinCount="100000" sheet="1" objects="1" scenarios="1"/>
  <mergeCells count="16">
    <mergeCell ref="D21:D22"/>
    <mergeCell ref="E21:E22"/>
    <mergeCell ref="O2:O7"/>
    <mergeCell ref="B5:B16"/>
    <mergeCell ref="D2:D3"/>
    <mergeCell ref="E2:E3"/>
    <mergeCell ref="C5:C6"/>
    <mergeCell ref="C7:C8"/>
    <mergeCell ref="G5:G6"/>
    <mergeCell ref="G7:G8"/>
    <mergeCell ref="G9:G10"/>
    <mergeCell ref="G11:G12"/>
    <mergeCell ref="C9:C10"/>
    <mergeCell ref="C11:C12"/>
    <mergeCell ref="C15:C16"/>
    <mergeCell ref="C13:C14"/>
  </mergeCells>
  <conditionalFormatting sqref="E5 E9 E11 E13 E15 I5 I7 I9 I11">
    <cfRule type="cellIs" dxfId="2" priority="4" operator="greaterThan">
      <formula>0</formula>
    </cfRule>
  </conditionalFormatting>
  <conditionalFormatting sqref="E10 E12 E14 E16 E6:E8">
    <cfRule type="cellIs" dxfId="1" priority="2" operator="greaterThan">
      <formula>0</formula>
    </cfRule>
  </conditionalFormatting>
  <conditionalFormatting sqref="I6 I8 I10 I12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ignoredErrors>
    <ignoredError sqref="L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7834-B057-4265-B9AA-3FD447EC1560}">
  <sheetPr codeName="Hoja3"/>
  <dimension ref="A1:H9"/>
  <sheetViews>
    <sheetView showGridLines="0" zoomScale="190" zoomScaleNormal="190" workbookViewId="0">
      <selection activeCell="D7" sqref="D7"/>
    </sheetView>
  </sheetViews>
  <sheetFormatPr baseColWidth="10" defaultColWidth="0" defaultRowHeight="15" zeroHeight="1"/>
  <cols>
    <col min="1" max="1" width="18.140625" style="143" bestFit="1" customWidth="1"/>
    <col min="2" max="2" width="11.42578125" style="143" customWidth="1"/>
    <col min="3" max="3" width="4.140625" style="143" customWidth="1"/>
    <col min="4" max="4" width="7.140625" style="143" bestFit="1" customWidth="1"/>
    <col min="5" max="5" width="14.140625" style="143" bestFit="1" customWidth="1"/>
    <col min="6" max="6" width="6.42578125" style="143" bestFit="1" customWidth="1"/>
    <col min="7" max="7" width="14.140625" style="143" bestFit="1" customWidth="1"/>
    <col min="8" max="8" width="4.140625" style="143" customWidth="1"/>
    <col min="9" max="16384" width="11.42578125" style="143" hidden="1"/>
  </cols>
  <sheetData>
    <row r="1" spans="1:7" ht="15.75">
      <c r="A1" s="144" t="s">
        <v>83</v>
      </c>
      <c r="B1" s="145" t="s">
        <v>84</v>
      </c>
      <c r="C1" s="146"/>
      <c r="D1" s="197" t="s">
        <v>92</v>
      </c>
      <c r="E1" s="198"/>
      <c r="F1" s="198"/>
      <c r="G1" s="199"/>
    </row>
    <row r="2" spans="1:7" ht="16.5" thickBot="1">
      <c r="A2" s="147" t="s">
        <v>85</v>
      </c>
      <c r="B2" s="148">
        <f>COUNTIFS(DtAtenClient[Ocupada], "&gt;0", DtAtenClient[Mesa], "&lt;&gt;", DtAtenClient[Ocupada], "&gt;=" &amp; $E$2, DtAtenClient[Ocupada], "&lt;=" &amp; $G$2) - IF(AND($E$5&lt;&gt;"", $G$5&lt;&gt;""), COUNTIFS(DtAtenClient[Ocupada], "&gt;0", DtAtenClient[Mesa], "&lt;&gt;", DtAtenClient[Ocupada], "&gt;=" &amp; $E$5, DtAtenClient[Ocupada], "&lt;=" &amp; $G$5), 0)</f>
        <v>0</v>
      </c>
      <c r="C2" s="146"/>
      <c r="D2" s="149" t="s">
        <v>94</v>
      </c>
      <c r="E2" s="150"/>
      <c r="F2" s="151" t="s">
        <v>93</v>
      </c>
      <c r="G2" s="152"/>
    </row>
    <row r="3" spans="1:7" ht="16.5" thickBot="1">
      <c r="A3" s="153" t="s">
        <v>86</v>
      </c>
      <c r="B3" s="156">
        <f>COUNTIFS(DtAtenClient[Atencion], "&gt;0", DtAtenClient[Mesa], "&lt;&gt;", DtAtenClient[Atencion], "&gt;=" &amp; $E$2, DtAtenClient[Atencion], "&lt;=" &amp; $G$2) - IF(AND($E$5&lt;&gt;"", $G$5&lt;&gt;""), COUNTIFS(DtAtenClient[Atencion], "&gt;0", DtAtenClient[Mesa], "&lt;&gt;", DtAtenClient[Atencion], "&gt;=" &amp; $E$5, DtAtenClient[Atencion], "&lt;=" &amp; $G$5), 0)</f>
        <v>0</v>
      </c>
      <c r="C3" s="146"/>
      <c r="D3" s="146"/>
      <c r="E3" s="146"/>
      <c r="F3" s="146"/>
      <c r="G3" s="146"/>
    </row>
    <row r="4" spans="1:7" ht="15.75">
      <c r="A4" s="147" t="s">
        <v>87</v>
      </c>
      <c r="B4" s="148">
        <f>COUNTIFS(DtAtenClient[Orden], "&gt;0", DtAtenClient[Mesa], "&lt;&gt;", DtAtenClient[Orden], "&gt;=" &amp; $E$2, DtAtenClient[Orden], "&lt;=" &amp; $G$2) - IF(AND($E$5&lt;&gt;"", $G$5&lt;&gt;""), COUNTIFS(DtAtenClient[Orden], "&gt;0", DtAtenClient[Mesa], "&lt;&gt;", DtAtenClient[Orden], "&gt;=" &amp; $E$5, DtAtenClient[Orden], "&lt;=" &amp; $G$5), 0)</f>
        <v>0</v>
      </c>
      <c r="C4" s="146"/>
      <c r="D4" s="197" t="s">
        <v>95</v>
      </c>
      <c r="E4" s="198"/>
      <c r="F4" s="198"/>
      <c r="G4" s="199"/>
    </row>
    <row r="5" spans="1:7" ht="16.5" thickBot="1">
      <c r="A5" s="153" t="s">
        <v>88</v>
      </c>
      <c r="B5" s="156">
        <f>COUNTIFS(DtAtenClient[Entrega], "&gt;0", DtAtenClient[Mesa], "&lt;&gt;", DtAtenClient[Entrega], "&gt;=" &amp; $E$2, DtAtenClient[Entrega], "&lt;=" &amp; $G$2) - IF(AND($E$5&lt;&gt;"", $G$5&lt;&gt;""), COUNTIFS(DtAtenClient[Entrega], "&gt;0", DtAtenClient[Mesa], "&lt;&gt;", DtAtenClient[Entrega], "&gt;=" &amp; $E$5, DtAtenClient[Entrega], "&lt;=" &amp; $G$5), 0)</f>
        <v>0</v>
      </c>
      <c r="C5" s="146"/>
      <c r="D5" s="149" t="s">
        <v>94</v>
      </c>
      <c r="E5" s="150"/>
      <c r="F5" s="151" t="s">
        <v>93</v>
      </c>
      <c r="G5" s="152"/>
    </row>
    <row r="6" spans="1:7" ht="15.75">
      <c r="A6" s="147" t="s">
        <v>89</v>
      </c>
      <c r="B6" s="148">
        <f>COUNTIFS(DtAtenClient[Desocupa], "&gt;0", DtAtenClient[Mesa], "&lt;&gt;", DtAtenClient[Desocupa], "&gt;=" &amp; $E$2, DtAtenClient[Desocupa], "&lt;=" &amp; $G$2) - IF(AND($E$5&lt;&gt;"", $G$5&lt;&gt;""), COUNTIFS(DtAtenClient[Desocupa], "&gt;0", DtAtenClient[Mesa], "&lt;&gt;", DtAtenClient[Desocupa], "&gt;=" &amp; $E$5, DtAtenClient[Desocupa], "&lt;=" &amp; $G$5), 0)</f>
        <v>0</v>
      </c>
      <c r="C6" s="146"/>
      <c r="D6" s="146"/>
      <c r="E6" s="146"/>
      <c r="F6" s="146"/>
      <c r="G6" s="146"/>
    </row>
    <row r="7" spans="1:7" ht="15.75">
      <c r="A7" s="153" t="s">
        <v>90</v>
      </c>
      <c r="B7" s="156">
        <f>COUNTIFS(DtAtenClient[Limpieza], "&gt;0", DtAtenClient[Mesa], "&lt;&gt;", DtAtenClient[Limpieza], "&gt;=" &amp; $E$2, DtAtenClient[Limpieza], "&lt;=" &amp; $G$2) - IF(AND($E$5&lt;&gt;"", $G$5&lt;&gt;""), COUNTIFS(DtAtenClient[Limpieza], "&gt;0", DtAtenClient[Mesa], "&lt;&gt;", DtAtenClient[Limpieza], "&gt;=" &amp; $E$5, DtAtenClient[Limpieza], "&lt;=" &amp; $G$5), 0)</f>
        <v>0</v>
      </c>
      <c r="C7" s="146"/>
      <c r="D7" s="146"/>
      <c r="E7" s="146"/>
      <c r="F7" s="146"/>
      <c r="G7" s="146"/>
    </row>
    <row r="8" spans="1:7" ht="16.5" thickBot="1">
      <c r="A8" s="154" t="s">
        <v>91</v>
      </c>
      <c r="B8" s="155">
        <f>COUNTIFS(DtAtenClient[InicioTG], "&gt;0", DtAtenClient[Mesa], "&lt;&gt;", DtAtenClient[InicioTG], "&gt;=" &amp; $E$2, DtAtenClient[InicioTG], "&lt;=" &amp; $G$2) - IF(AND($E$5&lt;&gt;"", $G$5&lt;&gt;""), COUNTIFS(DtAtenClient[InicioTG], "&gt;0", DtAtenClient[Mesa], "&lt;&gt;", DtAtenClient[InicioTG], "&gt;=" &amp; $E$5, DtAtenClient[InicioTG], "&lt;=" &amp; $G$5), 0)</f>
        <v>0</v>
      </c>
      <c r="C8" s="146"/>
      <c r="D8" s="146"/>
      <c r="E8" s="146"/>
      <c r="F8" s="146"/>
      <c r="G8" s="146"/>
    </row>
    <row r="9" spans="1:7"/>
  </sheetData>
  <mergeCells count="2">
    <mergeCell ref="D1:G1"/>
    <mergeCell ref="D4:G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FA63D1A1-0D04-41DD-9471-BF03051B7C67}">
  <ds:schemaRefs/>
</ds:datastoreItem>
</file>

<file path=customXml/itemProps2.xml><?xml version="1.0" encoding="utf-8"?>
<ds:datastoreItem xmlns:ds="http://schemas.openxmlformats.org/officeDocument/2006/customXml" ds:itemID="{84A32B3A-F861-42F4-A595-686390A0488D}">
  <ds:schemaRefs/>
</ds:datastoreItem>
</file>

<file path=customXml/itemProps3.xml><?xml version="1.0" encoding="utf-8"?>
<ds:datastoreItem xmlns:ds="http://schemas.openxmlformats.org/officeDocument/2006/customXml" ds:itemID="{0C0C8B4F-041D-4A7D-832A-B406F62508C3}">
  <ds:schemaRefs/>
</ds:datastoreItem>
</file>

<file path=customXml/itemProps4.xml><?xml version="1.0" encoding="utf-8"?>
<ds:datastoreItem xmlns:ds="http://schemas.openxmlformats.org/officeDocument/2006/customXml" ds:itemID="{8ED604CD-1738-4DA7-A6AA-23BEB2CABF36}">
  <ds:schemaRefs/>
</ds:datastoreItem>
</file>

<file path=customXml/itemProps5.xml><?xml version="1.0" encoding="utf-8"?>
<ds:datastoreItem xmlns:ds="http://schemas.openxmlformats.org/officeDocument/2006/customXml" ds:itemID="{0904E784-E40F-4E91-8B5C-D0866BEB4A50}">
  <ds:schemaRefs/>
</ds:datastoreItem>
</file>

<file path=customXml/itemProps6.xml><?xml version="1.0" encoding="utf-8"?>
<ds:datastoreItem xmlns:ds="http://schemas.openxmlformats.org/officeDocument/2006/customXml" ds:itemID="{DA776951-9A8B-4992-B071-F33CFF8FBD87}">
  <ds:schemaRefs/>
</ds:datastoreItem>
</file>

<file path=customXml/itemProps7.xml><?xml version="1.0" encoding="utf-8"?>
<ds:datastoreItem xmlns:ds="http://schemas.openxmlformats.org/officeDocument/2006/customXml" ds:itemID="{A9034C94-67B1-414E-ABFA-8280D84218EF}">
  <ds:schemaRefs/>
</ds:datastoreItem>
</file>

<file path=customXml/itemProps8.xml><?xml version="1.0" encoding="utf-8"?>
<ds:datastoreItem xmlns:ds="http://schemas.openxmlformats.org/officeDocument/2006/customXml" ds:itemID="{E3DC4AFC-C541-486D-A783-ED1DC06DEAC7}">
  <ds:schemaRefs/>
</ds:datastoreItem>
</file>

<file path=customXml/itemProps9.xml><?xml version="1.0" encoding="utf-8"?>
<ds:datastoreItem xmlns:ds="http://schemas.openxmlformats.org/officeDocument/2006/customXml" ds:itemID="{DCC594B1-E14D-47F0-80B1-ECBEFD9337F5}">
  <ds:schemaRefs/>
</ds:datastoreItem>
</file>

<file path=customXml/itemProps10.xml><?xml version="1.0" encoding="utf-8"?>
<ds:datastoreItem xmlns:ds="http://schemas.openxmlformats.org/officeDocument/2006/customXml" ds:itemID="{83219DD8-B981-426B-9AB0-6BED624FB226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96EE1B1-6ABD-43E5-AB96-27A811D25D82}">
  <ds:schemaRefs/>
</ds:datastoreItem>
</file>

<file path=customXml/itemProps12.xml><?xml version="1.0" encoding="utf-8"?>
<ds:datastoreItem xmlns:ds="http://schemas.openxmlformats.org/officeDocument/2006/customXml" ds:itemID="{657702F7-C591-4035-9127-FEF51365D3B9}">
  <ds:schemaRefs/>
</ds:datastoreItem>
</file>

<file path=customXml/itemProps13.xml><?xml version="1.0" encoding="utf-8"?>
<ds:datastoreItem xmlns:ds="http://schemas.openxmlformats.org/officeDocument/2006/customXml" ds:itemID="{98A82728-545D-4A6A-B336-DBFEA94AE27A}">
  <ds:schemaRefs/>
</ds:datastoreItem>
</file>

<file path=customXml/itemProps14.xml><?xml version="1.0" encoding="utf-8"?>
<ds:datastoreItem xmlns:ds="http://schemas.openxmlformats.org/officeDocument/2006/customXml" ds:itemID="{F62048F3-85F5-4192-B5B9-04471A5451A1}">
  <ds:schemaRefs/>
</ds:datastoreItem>
</file>

<file path=customXml/itemProps15.xml><?xml version="1.0" encoding="utf-8"?>
<ds:datastoreItem xmlns:ds="http://schemas.openxmlformats.org/officeDocument/2006/customXml" ds:itemID="{6416387B-E83C-4E7C-BFBF-B8609B4509B6}">
  <ds:schemaRefs/>
</ds:datastoreItem>
</file>

<file path=customXml/itemProps16.xml><?xml version="1.0" encoding="utf-8"?>
<ds:datastoreItem xmlns:ds="http://schemas.openxmlformats.org/officeDocument/2006/customXml" ds:itemID="{C9640476-630E-4403-A6ED-0582C4C537C2}">
  <ds:schemaRefs/>
</ds:datastoreItem>
</file>

<file path=customXml/itemProps17.xml><?xml version="1.0" encoding="utf-8"?>
<ds:datastoreItem xmlns:ds="http://schemas.openxmlformats.org/officeDocument/2006/customXml" ds:itemID="{CC42EA0E-4FB0-47B4-83E9-4D8A301823B5}">
  <ds:schemaRefs/>
</ds:datastoreItem>
</file>

<file path=customXml/itemProps18.xml><?xml version="1.0" encoding="utf-8"?>
<ds:datastoreItem xmlns:ds="http://schemas.openxmlformats.org/officeDocument/2006/customXml" ds:itemID="{74EEE54F-38FB-41A4-BAE8-7E903518FDB4}">
  <ds:schemaRefs/>
</ds:datastoreItem>
</file>

<file path=customXml/itemProps19.xml><?xml version="1.0" encoding="utf-8"?>
<ds:datastoreItem xmlns:ds="http://schemas.openxmlformats.org/officeDocument/2006/customXml" ds:itemID="{C4EDBFA0-89B3-4B04-9BE4-0F50481B89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Monitoreo</vt:lpstr>
      <vt:lpstr>Datos Atencion al Cliente</vt:lpstr>
      <vt:lpstr>Resumen</vt:lpstr>
      <vt:lpstr>HORA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Andreina</dc:creator>
  <cp:lastModifiedBy>Reporte-1</cp:lastModifiedBy>
  <cp:lastPrinted>2021-10-14T12:24:09Z</cp:lastPrinted>
  <dcterms:created xsi:type="dcterms:W3CDTF">2021-08-23T22:52:18Z</dcterms:created>
  <dcterms:modified xsi:type="dcterms:W3CDTF">2026-05-06T18:18:39Z</dcterms:modified>
  <cp:contentStatus/>
</cp:coreProperties>
</file>